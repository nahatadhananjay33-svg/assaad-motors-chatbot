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264" tabRatio="600" firstSheet="0" activeTab="7" autoFilterDateGrouping="1"/>
  </bookViews>
  <sheets>
    <sheet xmlns:r="http://schemas.openxmlformats.org/officeDocument/2006/relationships" name="📋 Instructions" sheetId="1" state="visible" r:id="rId1"/>
    <sheet xmlns:r="http://schemas.openxmlformats.org/officeDocument/2006/relationships" name="CTRL F" sheetId="2" state="visible" r:id="rId2"/>
    <sheet xmlns:r="http://schemas.openxmlformats.org/officeDocument/2006/relationships" name="DONT TOUCH SOLD" sheetId="3" state="visible" r:id="rId3"/>
    <sheet xmlns:r="http://schemas.openxmlformats.org/officeDocument/2006/relationships" name="SALE " sheetId="4" state="visible" r:id="rId4"/>
    <sheet xmlns:r="http://schemas.openxmlformats.org/officeDocument/2006/relationships" name="IVR" sheetId="5" state="visible" r:id="rId5"/>
    <sheet xmlns:r="http://schemas.openxmlformats.org/officeDocument/2006/relationships" name="LOCATION" sheetId="6" state="visible" r:id="rId6"/>
    <sheet xmlns:r="http://schemas.openxmlformats.org/officeDocument/2006/relationships" name="KEY" sheetId="7" state="visible" r:id="rId7"/>
    <sheet xmlns:r="http://schemas.openxmlformats.org/officeDocument/2006/relationships" name="Sheet1" sheetId="8" state="visible" r:id="rId8"/>
    <sheet xmlns:r="http://schemas.openxmlformats.org/officeDocument/2006/relationships" name="DNJ" sheetId="9" state="visible" r:id="rId9"/>
    <sheet xmlns:r="http://schemas.openxmlformats.org/officeDocument/2006/relationships" name="SOLD_CARS" sheetId="10" state="visible" r:id="rId10"/>
  </sheets>
  <definedNames>
    <definedName name="_xlnm._FilterDatabase" localSheetId="1" hidden="1">'CTRL F'!$A$3:$P$196</definedName>
    <definedName name="_xlnm._FilterDatabase" localSheetId="8" hidden="1">'DNJ'!$A$3:$BA$3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60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theme="1"/>
      <sz val="8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409"/>
      <scheme val="minor"/>
    </font>
    <font>
      <name val="Calibri"/>
      <family val="2"/>
      <b val="1"/>
      <color theme="1"/>
      <sz val="325"/>
      <scheme val="minor"/>
    </font>
    <font>
      <name val="Algerian"/>
      <family val="5"/>
      <b val="1"/>
      <color theme="1"/>
      <sz val="409"/>
    </font>
    <font>
      <name val="Calibri"/>
      <family val="2"/>
      <color rgb="FF9C6500"/>
      <sz val="11"/>
      <scheme val="minor"/>
    </font>
    <font>
      <name val="Calibri"/>
      <family val="2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i val="1"/>
      <color theme="1" tint="0.0499893185216834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sz val="9"/>
      <scheme val="minor"/>
    </font>
    <font>
      <name val="Calibri"/>
      <family val="2"/>
      <b val="1"/>
      <i val="1"/>
      <color theme="1"/>
      <sz val="9"/>
      <u val="single"/>
      <scheme val="minor"/>
    </font>
    <font>
      <name val="Calibri"/>
      <family val="2"/>
      <b val="1"/>
      <i val="1"/>
      <sz val="9"/>
      <u val="single"/>
      <scheme val="minor"/>
    </font>
    <font>
      <name val="Calibri"/>
      <family val="2"/>
      <b val="1"/>
      <color rgb="FFFF0000"/>
      <sz val="9"/>
      <scheme val="minor"/>
    </font>
    <font>
      <name val="Calibri"/>
      <family val="2"/>
      <b val="1"/>
      <sz val="8"/>
      <scheme val="minor"/>
    </font>
    <font>
      <name val="Calibri"/>
      <family val="2"/>
      <color theme="1"/>
      <sz val="7"/>
      <scheme val="minor"/>
    </font>
    <font>
      <name val="Calibri"/>
      <family val="2"/>
      <sz val="7"/>
      <scheme val="minor"/>
    </font>
    <font>
      <name val="Calibri"/>
      <family val="2"/>
      <b val="1"/>
      <sz val="7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 Light"/>
      <family val="2"/>
      <b val="1"/>
      <color theme="1"/>
      <sz val="9"/>
    </font>
    <font>
      <name val="Calibri Light"/>
      <family val="2"/>
      <b val="1"/>
      <sz val="9"/>
    </font>
    <font>
      <name val="Calibri Light"/>
      <family val="2"/>
      <sz val="9"/>
    </font>
    <font>
      <name val="Calibri Light"/>
      <family val="2"/>
      <color theme="1"/>
      <sz val="9"/>
    </font>
    <font>
      <name val="Calibri Light"/>
      <family val="2"/>
      <b val="1"/>
      <color theme="1"/>
      <sz val="10"/>
    </font>
    <font>
      <name val="Calibri Light"/>
      <family val="2"/>
      <color theme="1"/>
      <sz val="10"/>
    </font>
    <font>
      <name val="Calibri Light"/>
      <family val="2"/>
      <b val="1"/>
      <color theme="1"/>
      <sz val="8"/>
    </font>
    <font>
      <name val="Calibri Light"/>
      <family val="2"/>
      <b val="1"/>
      <sz val="8"/>
    </font>
    <font>
      <name val="Calibri Light"/>
      <family val="2"/>
      <sz val="8"/>
    </font>
    <font>
      <name val="Calibri Light"/>
      <family val="2"/>
      <color theme="1"/>
      <sz val="8"/>
    </font>
    <font>
      <name val="Calibri Light"/>
      <family val="2"/>
      <b val="1"/>
      <color rgb="FFFF0000"/>
      <sz val="9"/>
    </font>
    <font>
      <name val="Calibri Light"/>
      <family val="2"/>
      <b val="1"/>
      <sz val="10"/>
    </font>
    <font>
      <name val="Calibri Light"/>
      <family val="2"/>
      <sz val="10"/>
    </font>
    <font>
      <name val="Calibri Light"/>
      <family val="2"/>
      <i val="1"/>
      <color theme="1"/>
      <sz val="9"/>
    </font>
    <font>
      <name val="Calibri Light"/>
      <family val="2"/>
      <b val="1"/>
      <i val="1"/>
      <color theme="1"/>
      <sz val="9"/>
    </font>
    <font>
      <name val="Calibri Light"/>
      <family val="2"/>
      <i val="1"/>
      <color theme="1"/>
      <sz val="10"/>
    </font>
    <font>
      <name val="Calibri Light"/>
      <family val="2"/>
      <b val="1"/>
      <color theme="1"/>
      <sz val="12"/>
    </font>
    <font>
      <name val="Calibri Light"/>
      <family val="2"/>
      <b val="1"/>
      <color theme="1"/>
      <sz val="16"/>
    </font>
    <font>
      <name val="Calibri Light"/>
      <family val="2"/>
      <b val="1"/>
      <color rgb="FFFF0000"/>
      <sz val="10"/>
    </font>
    <font>
      <name val="Calibri Light"/>
      <family val="2"/>
      <b val="1"/>
      <sz val="12"/>
    </font>
    <font>
      <name val="Calibri Light"/>
      <family val="2"/>
      <sz val="12"/>
    </font>
    <font>
      <name val="Calibri Light"/>
      <family val="2"/>
      <color theme="1"/>
      <sz val="12"/>
    </font>
    <font>
      <name val="Calibri Light"/>
      <family val="2"/>
      <color rgb="FFFF0000"/>
      <sz val="12"/>
    </font>
    <font>
      <name val="Calibri Light"/>
      <family val="2"/>
      <b val="1"/>
      <sz val="16"/>
    </font>
    <font>
      <name val="Calibri Light"/>
      <family val="2"/>
      <b val="1"/>
      <color theme="1"/>
      <sz val="28"/>
    </font>
    <font>
      <name val="Calibri Light"/>
      <family val="2"/>
      <i val="1"/>
      <color theme="1"/>
      <sz val="8"/>
    </font>
    <font>
      <name val="Calibri Light"/>
      <family val="2"/>
      <color rgb="FFFF0000"/>
      <sz val="8"/>
    </font>
    <font>
      <name val="Calibri Light"/>
      <family val="2"/>
      <b val="1"/>
      <color theme="1"/>
      <sz val="11"/>
    </font>
    <font>
      <name val="Calibri Light"/>
      <family val="2"/>
      <b val="1"/>
      <sz val="11"/>
    </font>
    <font>
      <name val="Calibri Light"/>
      <family val="2"/>
      <sz val="11"/>
    </font>
    <font>
      <name val="Calibri Light"/>
      <family val="2"/>
      <color theme="1"/>
      <sz val="11"/>
    </font>
    <font>
      <b val="1"/>
      <color rgb="00FFFFFF"/>
      <sz val="11"/>
    </font>
    <font>
      <b val="1"/>
      <color rgb="001F3A5F"/>
      <sz val="10"/>
    </font>
    <font>
      <i val="1"/>
      <color rgb="008A94A6"/>
      <sz val="8"/>
    </font>
    <font>
      <b val="1"/>
      <color rgb="00FFFFFF"/>
    </font>
    <font>
      <b val="1"/>
      <color rgb="001F3A5F"/>
    </font>
  </fonts>
  <fills count="2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001F3A5F"/>
      </patternFill>
    </fill>
    <fill>
      <patternFill patternType="solid">
        <fgColor rgb="002E5E8C"/>
      </patternFill>
    </fill>
    <fill>
      <patternFill patternType="solid">
        <fgColor rgb="003B7A57"/>
      </patternFill>
    </fill>
    <fill>
      <patternFill patternType="solid">
        <fgColor rgb="007A5C2E"/>
      </patternFill>
    </fill>
    <fill>
      <patternFill patternType="solid">
        <fgColor rgb="006A3D7A"/>
      </patternFill>
    </fill>
    <fill>
      <patternFill patternType="solid">
        <fgColor rgb="002E6E6E"/>
      </patternFill>
    </fill>
    <fill>
      <patternFill patternType="solid">
        <fgColor rgb="008C3B3B"/>
      </patternFill>
    </fill>
    <fill>
      <patternFill patternType="solid">
        <fgColor rgb="004A5A2E"/>
      </patternFill>
    </fill>
    <fill>
      <patternFill patternType="solid">
        <fgColor rgb="003B5E7A"/>
      </patternFill>
    </fill>
    <fill>
      <patternFill patternType="solid">
        <fgColor rgb="007A4A2E"/>
      </patternFill>
    </fill>
    <fill>
      <patternFill patternType="solid">
        <fgColor rgb="002E7A5C"/>
      </patternFill>
    </fill>
    <fill>
      <patternFill patternType="solid">
        <fgColor rgb="005C2E7A"/>
      </patternFill>
    </fill>
    <fill>
      <patternFill patternType="solid">
        <fgColor rgb="00EEF2F7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3">
    <xf numFmtId="0" fontId="0" fillId="0" borderId="0"/>
    <xf numFmtId="0" fontId="1" fillId="0" borderId="0" applyAlignment="1" applyProtection="1">
      <alignment vertical="top"/>
      <protection locked="0" hidden="0"/>
    </xf>
    <xf numFmtId="0" fontId="7" fillId="4" borderId="0"/>
  </cellStyleXfs>
  <cellXfs count="344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9" fillId="0" borderId="2" applyAlignment="1" pivotButton="0" quotePrefix="0" xfId="0">
      <alignment horizontal="center"/>
    </xf>
    <xf numFmtId="0" fontId="8" fillId="0" borderId="1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0" fontId="9" fillId="0" borderId="1" pivotButton="0" quotePrefix="0" xfId="0"/>
    <xf numFmtId="0" fontId="9" fillId="0" borderId="1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/>
    </xf>
    <xf numFmtId="0" fontId="10" fillId="2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/>
    </xf>
    <xf numFmtId="0" fontId="12" fillId="2" borderId="1" applyAlignment="1" pivotButton="0" quotePrefix="0" xfId="0">
      <alignment vertical="center"/>
    </xf>
    <xf numFmtId="0" fontId="12" fillId="2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center"/>
    </xf>
    <xf numFmtId="0" fontId="13" fillId="2" borderId="1" pivotButton="0" quotePrefix="0" xfId="0"/>
    <xf numFmtId="0" fontId="13" fillId="2" borderId="1" applyAlignment="1" pivotButton="0" quotePrefix="0" xfId="0">
      <alignment horizontal="left"/>
    </xf>
    <xf numFmtId="0" fontId="14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vertical="center"/>
    </xf>
    <xf numFmtId="0" fontId="14" fillId="3" borderId="1" applyAlignment="1" pivotButton="0" quotePrefix="0" xfId="0">
      <alignment horizontal="left" vertical="center"/>
    </xf>
    <xf numFmtId="17" fontId="14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/>
    </xf>
    <xf numFmtId="0" fontId="11" fillId="2" borderId="1" pivotButton="0" quotePrefix="0" xfId="0"/>
    <xf numFmtId="0" fontId="11" fillId="2" borderId="1" applyAlignment="1" pivotButton="0" quotePrefix="0" xfId="0">
      <alignment horizontal="left"/>
    </xf>
    <xf numFmtId="0" fontId="13" fillId="0" borderId="1" pivotButton="0" quotePrefix="0" xfId="0"/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11" fillId="0" borderId="1" pivotButton="0" quotePrefix="0" xfId="0"/>
    <xf numFmtId="0" fontId="11" fillId="0" borderId="1" applyAlignment="1" pivotButton="0" quotePrefix="0" xfId="0">
      <alignment horizontal="left"/>
    </xf>
    <xf numFmtId="17" fontId="11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  <xf numFmtId="0" fontId="12" fillId="0" borderId="1" applyAlignment="1" pivotButton="0" quotePrefix="1" xfId="0">
      <alignment horizontal="left" vertical="center"/>
    </xf>
    <xf numFmtId="17" fontId="12" fillId="2" borderId="1" applyAlignment="1" pivotButton="0" quotePrefix="0" xfId="0">
      <alignment horizontal="center" vertical="center"/>
    </xf>
    <xf numFmtId="0" fontId="12" fillId="0" borderId="1" applyAlignment="1" pivotButton="0" quotePrefix="0" xfId="1">
      <alignment horizontal="center" vertical="center"/>
    </xf>
    <xf numFmtId="16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/>
    </xf>
    <xf numFmtId="0" fontId="17" fillId="0" borderId="2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/>
    </xf>
    <xf numFmtId="0" fontId="18" fillId="0" borderId="1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2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/>
    </xf>
    <xf numFmtId="0" fontId="21" fillId="0" borderId="3" applyAlignment="1" pivotButton="0" quotePrefix="0" xfId="0">
      <alignment horizontal="center"/>
    </xf>
    <xf numFmtId="0" fontId="21" fillId="0" borderId="4" applyAlignment="1" pivotButton="0" quotePrefix="0" xfId="0">
      <alignment horizontal="center"/>
    </xf>
    <xf numFmtId="0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vertical="center"/>
    </xf>
    <xf numFmtId="0" fontId="15" fillId="5" borderId="1" applyAlignment="1" pivotButton="0" quotePrefix="0" xfId="0">
      <alignment horizontal="left" vertical="center"/>
    </xf>
    <xf numFmtId="0" fontId="15" fillId="5" borderId="1" applyAlignment="1" pivotButton="0" quotePrefix="0" xfId="0">
      <alignment horizontal="center"/>
    </xf>
    <xf numFmtId="0" fontId="22" fillId="0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center"/>
    </xf>
    <xf numFmtId="0" fontId="21" fillId="0" borderId="0" applyAlignment="1" pivotButton="0" quotePrefix="0" xfId="0">
      <alignment horizontal="left"/>
    </xf>
    <xf numFmtId="0" fontId="23" fillId="0" borderId="1" pivotButton="0" quotePrefix="0" xfId="0"/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0" fontId="21" fillId="0" borderId="0" pivotButton="0" quotePrefix="0" xfId="0"/>
    <xf numFmtId="0" fontId="8" fillId="3" borderId="1" applyAlignment="1" pivotButton="0" quotePrefix="0" xfId="0">
      <alignment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/>
    </xf>
    <xf numFmtId="0" fontId="8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21" fillId="0" borderId="2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9" fillId="0" borderId="4" pivotButton="0" quotePrefix="0" xfId="0"/>
    <xf numFmtId="0" fontId="9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center"/>
    </xf>
    <xf numFmtId="0" fontId="8" fillId="0" borderId="4" applyAlignment="1" pivotButton="0" quotePrefix="0" xfId="0">
      <alignment vertical="center"/>
    </xf>
    <xf numFmtId="0" fontId="24" fillId="0" borderId="1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6" fillId="0" borderId="1" applyAlignment="1" pivotButton="0" quotePrefix="0" xfId="0">
      <alignment vertical="center"/>
    </xf>
    <xf numFmtId="0" fontId="27" fillId="0" borderId="0" applyAlignment="1" pivotButton="0" quotePrefix="0" xfId="0">
      <alignment horizontal="center"/>
    </xf>
    <xf numFmtId="0" fontId="27" fillId="0" borderId="2" applyAlignment="1" pivotButton="0" quotePrefix="0" xfId="0">
      <alignment horizontal="center"/>
    </xf>
    <xf numFmtId="0" fontId="27" fillId="0" borderId="0" applyAlignment="1" pivotButton="0" quotePrefix="0" xfId="0">
      <alignment horizontal="left"/>
    </xf>
    <xf numFmtId="0" fontId="27" fillId="0" borderId="0" pivotButton="0" quotePrefix="0" xfId="0"/>
    <xf numFmtId="0" fontId="27" fillId="0" borderId="2" pivotButton="0" quotePrefix="0" xfId="0"/>
    <xf numFmtId="0" fontId="26" fillId="0" borderId="2" applyAlignment="1" pivotButton="0" quotePrefix="0" xfId="0">
      <alignment horizontal="center" vertical="center"/>
    </xf>
    <xf numFmtId="0" fontId="29" fillId="0" borderId="2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horizontal="left" vertical="center"/>
    </xf>
    <xf numFmtId="0" fontId="33" fillId="0" borderId="2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3" fillId="0" borderId="1" pivotButton="0" quotePrefix="0" xfId="0"/>
    <xf numFmtId="0" fontId="33" fillId="3" borderId="1" applyAlignment="1" pivotButton="0" quotePrefix="0" xfId="0">
      <alignment horizontal="center"/>
    </xf>
    <xf numFmtId="0" fontId="33" fillId="3" borderId="0" applyAlignment="1" pivotButton="0" quotePrefix="0" xfId="0">
      <alignment horizontal="center"/>
    </xf>
    <xf numFmtId="0" fontId="34" fillId="0" borderId="1" applyAlignment="1" pivotButton="0" quotePrefix="0" xfId="0">
      <alignment horizontal="center"/>
    </xf>
    <xf numFmtId="0" fontId="34" fillId="0" borderId="0" applyAlignment="1" pivotButton="0" quotePrefix="0" xfId="0">
      <alignment horizontal="center"/>
    </xf>
    <xf numFmtId="0" fontId="34" fillId="0" borderId="1" pivotButton="0" quotePrefix="0" xfId="0"/>
    <xf numFmtId="0" fontId="34" fillId="0" borderId="1" applyAlignment="1" pivotButton="0" quotePrefix="0" xfId="0">
      <alignment horizontal="left"/>
    </xf>
    <xf numFmtId="0" fontId="34" fillId="0" borderId="2" applyAlignment="1" pivotButton="0" quotePrefix="0" xfId="0">
      <alignment horizontal="center"/>
    </xf>
    <xf numFmtId="0" fontId="32" fillId="3" borderId="1" applyAlignment="1" pivotButton="0" quotePrefix="0" xfId="0">
      <alignment horizontal="left" vertical="center"/>
    </xf>
    <xf numFmtId="0" fontId="36" fillId="0" borderId="1" applyAlignment="1" pivotButton="0" quotePrefix="0" xfId="0">
      <alignment vertical="center"/>
    </xf>
    <xf numFmtId="0" fontId="36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37" fillId="0" borderId="1" pivotButton="0" quotePrefix="0" xfId="0"/>
    <xf numFmtId="16" fontId="27" fillId="0" borderId="1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9" fillId="3" borderId="0" applyAlignment="1" pivotButton="0" quotePrefix="0" xfId="0">
      <alignment horizontal="center"/>
    </xf>
    <xf numFmtId="0" fontId="29" fillId="0" borderId="0" pivotButton="0" quotePrefix="0" xfId="0"/>
    <xf numFmtId="0" fontId="29" fillId="0" borderId="0" applyAlignment="1" pivotButton="0" quotePrefix="0" xfId="0">
      <alignment horizontal="left"/>
    </xf>
    <xf numFmtId="0" fontId="25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/>
    </xf>
    <xf numFmtId="0" fontId="32" fillId="3" borderId="1" applyAlignment="1" pivotButton="0" quotePrefix="0" xfId="0">
      <alignment vertical="center"/>
    </xf>
    <xf numFmtId="0" fontId="28" fillId="0" borderId="0" applyAlignment="1" pivotButton="0" quotePrefix="0" xfId="0">
      <alignment horizontal="left"/>
    </xf>
    <xf numFmtId="0" fontId="30" fillId="6" borderId="1" applyAlignment="1" pivotButton="0" quotePrefix="0" xfId="0">
      <alignment horizontal="center"/>
    </xf>
    <xf numFmtId="0" fontId="31" fillId="6" borderId="1" applyAlignment="1" pivotButton="0" quotePrefix="0" xfId="0">
      <alignment vertical="center"/>
    </xf>
    <xf numFmtId="0" fontId="31" fillId="6" borderId="1" applyAlignment="1" pivotButton="0" quotePrefix="0" xfId="0">
      <alignment horizontal="left" vertical="center"/>
    </xf>
    <xf numFmtId="0" fontId="31" fillId="6" borderId="1" applyAlignment="1" pivotButton="0" quotePrefix="0" xfId="0">
      <alignment horizontal="center" vertical="center"/>
    </xf>
    <xf numFmtId="0" fontId="31" fillId="6" borderId="0" applyAlignment="1" pivotButton="0" quotePrefix="0" xfId="0">
      <alignment horizontal="center" vertical="center"/>
    </xf>
    <xf numFmtId="0" fontId="30" fillId="6" borderId="0" applyAlignment="1" pivotButton="0" quotePrefix="0" xfId="0">
      <alignment horizontal="center"/>
    </xf>
    <xf numFmtId="0" fontId="24" fillId="0" borderId="1" pivotButton="0" quotePrefix="0" xfId="0"/>
    <xf numFmtId="0" fontId="24" fillId="0" borderId="1" applyAlignment="1" pivotButton="0" quotePrefix="0" xfId="0">
      <alignment horizontal="left"/>
    </xf>
    <xf numFmtId="0" fontId="38" fillId="0" borderId="1" pivotButton="0" quotePrefix="0" xfId="0"/>
    <xf numFmtId="0" fontId="29" fillId="0" borderId="1" pivotButton="0" quotePrefix="0" xfId="0"/>
    <xf numFmtId="0" fontId="29" fillId="0" borderId="1" applyAlignment="1" pivotButton="0" quotePrefix="0" xfId="0">
      <alignment horizontal="left"/>
    </xf>
    <xf numFmtId="0" fontId="39" fillId="0" borderId="1" pivotButton="0" quotePrefix="0" xfId="0"/>
    <xf numFmtId="0" fontId="36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32" fillId="0" borderId="4" applyAlignment="1" pivotButton="0" quotePrefix="0" xfId="0">
      <alignment vertical="center"/>
    </xf>
    <xf numFmtId="0" fontId="32" fillId="0" borderId="4" applyAlignment="1" pivotButton="0" quotePrefix="0" xfId="0">
      <alignment horizontal="left" vertical="center"/>
    </xf>
    <xf numFmtId="0" fontId="26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vertical="center"/>
    </xf>
    <xf numFmtId="0" fontId="26" fillId="0" borderId="4" applyAlignment="1" pivotButton="0" quotePrefix="0" xfId="0">
      <alignment horizontal="left" vertical="center"/>
    </xf>
    <xf numFmtId="0" fontId="27" fillId="0" borderId="4" applyAlignment="1" pivotButton="0" quotePrefix="0" xfId="0">
      <alignment horizontal="center"/>
    </xf>
    <xf numFmtId="0" fontId="27" fillId="0" borderId="4" pivotButton="0" quotePrefix="0" xfId="0"/>
    <xf numFmtId="0" fontId="27" fillId="0" borderId="4" applyAlignment="1" pivotButton="0" quotePrefix="0" xfId="0">
      <alignment horizontal="left"/>
    </xf>
    <xf numFmtId="17" fontId="26" fillId="0" borderId="4" applyAlignment="1" pivotButton="0" quotePrefix="0" xfId="0">
      <alignment horizontal="center" vertical="center"/>
    </xf>
    <xf numFmtId="16" fontId="11" fillId="0" borderId="1" pivotButton="0" quotePrefix="0" xfId="0"/>
    <xf numFmtId="0" fontId="31" fillId="0" borderId="4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/>
    </xf>
    <xf numFmtId="0" fontId="35" fillId="0" borderId="1" applyAlignment="1" pivotButton="0" quotePrefix="0" xfId="0">
      <alignment vertical="center"/>
    </xf>
    <xf numFmtId="0" fontId="36" fillId="0" borderId="4" applyAlignment="1" pivotButton="0" quotePrefix="0" xfId="0">
      <alignment horizontal="center" vertical="center"/>
    </xf>
    <xf numFmtId="0" fontId="36" fillId="0" borderId="4" applyAlignment="1" pivotButton="0" quotePrefix="0" xfId="0">
      <alignment vertical="center"/>
    </xf>
    <xf numFmtId="0" fontId="36" fillId="0" borderId="4" applyAlignment="1" pivotButton="0" quotePrefix="0" xfId="0">
      <alignment horizontal="left" vertical="center"/>
    </xf>
    <xf numFmtId="0" fontId="29" fillId="0" borderId="4" pivotButton="0" quotePrefix="0" xfId="0"/>
    <xf numFmtId="0" fontId="29" fillId="0" borderId="4" applyAlignment="1" pivotButton="0" quotePrefix="0" xfId="0">
      <alignment horizontal="left"/>
    </xf>
    <xf numFmtId="0" fontId="29" fillId="3" borderId="1" pivotButton="0" quotePrefix="0" xfId="2"/>
    <xf numFmtId="0" fontId="29" fillId="3" borderId="1" applyAlignment="1" pivotButton="0" quotePrefix="0" xfId="0">
      <alignment horizontal="center"/>
    </xf>
    <xf numFmtId="0" fontId="36" fillId="3" borderId="1" applyAlignment="1" pivotButton="0" quotePrefix="0" xfId="0">
      <alignment vertical="center"/>
    </xf>
    <xf numFmtId="0" fontId="36" fillId="3" borderId="1" applyAlignment="1" pivotButton="0" quotePrefix="0" xfId="0">
      <alignment horizontal="left" vertical="center"/>
    </xf>
    <xf numFmtId="0" fontId="36" fillId="3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/>
    </xf>
    <xf numFmtId="0" fontId="29" fillId="3" borderId="1" pivotButton="0" quotePrefix="0" xfId="0"/>
    <xf numFmtId="0" fontId="29" fillId="3" borderId="1" applyAlignment="1" pivotButton="0" quotePrefix="0" xfId="0">
      <alignment horizontal="left"/>
    </xf>
    <xf numFmtId="17" fontId="29" fillId="0" borderId="1" applyAlignment="1" pivotButton="0" quotePrefix="0" xfId="0">
      <alignment horizontal="center"/>
    </xf>
    <xf numFmtId="16" fontId="29" fillId="0" borderId="1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  <xf numFmtId="16" fontId="29" fillId="0" borderId="4" applyAlignment="1" pivotButton="0" quotePrefix="0" xfId="0">
      <alignment horizontal="center"/>
    </xf>
    <xf numFmtId="0" fontId="43" fillId="0" borderId="1" applyAlignment="1" pivotButton="0" quotePrefix="0" xfId="0">
      <alignment horizontal="center" vertical="center"/>
    </xf>
    <xf numFmtId="17" fontId="36" fillId="0" borderId="4" applyAlignment="1" pivotButton="0" quotePrefix="0" xfId="0">
      <alignment horizontal="center" vertical="center"/>
    </xf>
    <xf numFmtId="0" fontId="36" fillId="2" borderId="4" applyAlignment="1" pivotButton="0" quotePrefix="0" xfId="0">
      <alignment horizontal="center" vertical="center"/>
    </xf>
    <xf numFmtId="0" fontId="29" fillId="2" borderId="1" applyAlignment="1" pivotButton="0" quotePrefix="0" xfId="0">
      <alignment horizontal="center"/>
    </xf>
    <xf numFmtId="0" fontId="29" fillId="2" borderId="4" pivotButton="0" quotePrefix="0" xfId="0"/>
    <xf numFmtId="0" fontId="29" fillId="2" borderId="4" applyAlignment="1" pivotButton="0" quotePrefix="0" xfId="0">
      <alignment horizontal="left"/>
    </xf>
    <xf numFmtId="0" fontId="29" fillId="2" borderId="4" applyAlignment="1" pivotButton="0" quotePrefix="0" xfId="0">
      <alignment horizontal="center"/>
    </xf>
    <xf numFmtId="0" fontId="29" fillId="2" borderId="0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0" fontId="33" fillId="3" borderId="1" pivotButton="0" quotePrefix="0" xfId="0"/>
    <xf numFmtId="0" fontId="33" fillId="3" borderId="1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0" fillId="0" borderId="0" applyAlignment="1" pivotButton="0" quotePrefix="0" xfId="0">
      <alignment horizontal="left"/>
    </xf>
    <xf numFmtId="0" fontId="30" fillId="3" borderId="1" applyAlignment="1" pivotButton="0" quotePrefix="0" xfId="0">
      <alignment horizontal="center"/>
    </xf>
    <xf numFmtId="0" fontId="28" fillId="0" borderId="1" applyAlignment="1" pivotButton="0" quotePrefix="0" xfId="0">
      <alignment horizontal="center"/>
    </xf>
    <xf numFmtId="0" fontId="35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/>
    </xf>
    <xf numFmtId="0" fontId="44" fillId="0" borderId="1" applyAlignment="1" pivotButton="0" quotePrefix="0" xfId="0">
      <alignment horizontal="center" vertical="center"/>
    </xf>
    <xf numFmtId="0" fontId="44" fillId="0" borderId="1" applyAlignment="1" pivotButton="0" quotePrefix="0" xfId="0">
      <alignment vertical="center"/>
    </xf>
    <xf numFmtId="0" fontId="44" fillId="0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/>
    </xf>
    <xf numFmtId="0" fontId="45" fillId="0" borderId="1" pivotButton="0" quotePrefix="0" xfId="0"/>
    <xf numFmtId="0" fontId="45" fillId="0" borderId="1" applyAlignment="1" pivotButton="0" quotePrefix="0" xfId="0">
      <alignment horizontal="left"/>
    </xf>
    <xf numFmtId="0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center"/>
    </xf>
    <xf numFmtId="0" fontId="45" fillId="0" borderId="4" applyAlignment="1" pivotButton="0" quotePrefix="0" xfId="0">
      <alignment horizontal="center"/>
    </xf>
    <xf numFmtId="0" fontId="44" fillId="0" borderId="4" applyAlignment="1" pivotButton="0" quotePrefix="0" xfId="0">
      <alignment vertical="center"/>
    </xf>
    <xf numFmtId="0" fontId="44" fillId="0" borderId="4" applyAlignment="1" pivotButton="0" quotePrefix="0" xfId="0">
      <alignment horizontal="left" vertical="center"/>
    </xf>
    <xf numFmtId="0" fontId="44" fillId="0" borderId="4" applyAlignment="1" pivotButton="0" quotePrefix="0" xfId="0">
      <alignment horizontal="center" vertical="center"/>
    </xf>
    <xf numFmtId="0" fontId="43" fillId="0" borderId="4" applyAlignment="1" pivotButton="0" quotePrefix="0" xfId="0">
      <alignment horizontal="center" vertical="center"/>
    </xf>
    <xf numFmtId="0" fontId="45" fillId="0" borderId="4" pivotButton="0" quotePrefix="0" xfId="0"/>
    <xf numFmtId="0" fontId="45" fillId="0" borderId="4" applyAlignment="1" pivotButton="0" quotePrefix="0" xfId="0">
      <alignment horizontal="left"/>
    </xf>
    <xf numFmtId="0" fontId="40" fillId="0" borderId="4" applyAlignment="1" pivotButton="0" quotePrefix="0" xfId="0">
      <alignment horizontal="center"/>
    </xf>
    <xf numFmtId="17" fontId="45" fillId="0" borderId="1" applyAlignment="1" pivotButton="0" quotePrefix="0" xfId="0">
      <alignment horizontal="center"/>
    </xf>
    <xf numFmtId="16" fontId="4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46" fillId="0" borderId="0" applyAlignment="1" pivotButton="0" quotePrefix="0" xfId="0">
      <alignment horizontal="center"/>
    </xf>
    <xf numFmtId="0" fontId="45" fillId="0" borderId="1" applyAlignment="1" pivotButton="0" quotePrefix="0" xfId="0">
      <alignment horizontal="center"/>
    </xf>
    <xf numFmtId="0" fontId="47" fillId="0" borderId="1" applyAlignment="1" pivotButton="0" quotePrefix="0" xfId="0">
      <alignment horizontal="left" vertical="center"/>
    </xf>
    <xf numFmtId="0" fontId="47" fillId="0" borderId="1" applyAlignment="1" pivotButton="0" quotePrefix="0" xfId="0">
      <alignment vertical="center"/>
    </xf>
    <xf numFmtId="0" fontId="41" fillId="0" borderId="0" applyAlignment="1" pivotButton="0" quotePrefix="0" xfId="0">
      <alignment horizontal="center"/>
    </xf>
    <xf numFmtId="0" fontId="45" fillId="3" borderId="1" applyAlignment="1" pivotButton="0" quotePrefix="0" xfId="0">
      <alignment horizontal="center"/>
    </xf>
    <xf numFmtId="0" fontId="44" fillId="3" borderId="1" applyAlignment="1" pivotButton="0" quotePrefix="0" xfId="0">
      <alignment vertical="center"/>
    </xf>
    <xf numFmtId="0" fontId="44" fillId="3" borderId="1" applyAlignment="1" pivotButton="0" quotePrefix="0" xfId="0">
      <alignment horizontal="left" vertical="center"/>
    </xf>
    <xf numFmtId="0" fontId="44" fillId="3" borderId="1" applyAlignment="1" pivotButton="0" quotePrefix="0" xfId="0">
      <alignment horizontal="center" vertical="center"/>
    </xf>
    <xf numFmtId="0" fontId="43" fillId="3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/>
    </xf>
    <xf numFmtId="0" fontId="45" fillId="3" borderId="1" pivotButton="0" quotePrefix="0" xfId="2"/>
    <xf numFmtId="0" fontId="45" fillId="0" borderId="0" pivotButton="0" quotePrefix="0" xfId="0"/>
    <xf numFmtId="0" fontId="45" fillId="0" borderId="0" applyAlignment="1" pivotButton="0" quotePrefix="0" xfId="0">
      <alignment horizontal="left"/>
    </xf>
    <xf numFmtId="0" fontId="31" fillId="0" borderId="1" applyAlignment="1" pivotButton="0" quotePrefix="0" xfId="0">
      <alignment vertical="center"/>
    </xf>
    <xf numFmtId="17" fontId="32" fillId="0" borderId="1" applyAlignment="1" pivotButton="0" quotePrefix="0" xfId="0">
      <alignment horizontal="center" vertical="center"/>
    </xf>
    <xf numFmtId="0" fontId="32" fillId="3" borderId="0" applyAlignment="1" pivotButton="0" quotePrefix="0" xfId="0">
      <alignment horizontal="center" vertical="center"/>
    </xf>
    <xf numFmtId="0" fontId="49" fillId="0" borderId="1" pivotButton="0" quotePrefix="0" xfId="0"/>
    <xf numFmtId="0" fontId="32" fillId="0" borderId="4" applyAlignment="1" pivotButton="0" quotePrefix="0" xfId="0">
      <alignment horizontal="center" vertical="center"/>
    </xf>
    <xf numFmtId="0" fontId="33" fillId="0" borderId="0" pivotButton="0" quotePrefix="0" xfId="0"/>
    <xf numFmtId="17" fontId="33" fillId="0" borderId="1" applyAlignment="1" pivotButton="0" quotePrefix="0" xfId="0">
      <alignment horizontal="center"/>
    </xf>
    <xf numFmtId="16" fontId="33" fillId="0" borderId="1" applyAlignment="1" pivotButton="0" quotePrefix="0" xfId="0">
      <alignment horizontal="center"/>
    </xf>
    <xf numFmtId="0" fontId="30" fillId="0" borderId="1" applyAlignment="1" pivotButton="0" quotePrefix="0" xfId="0">
      <alignment horizontal="center"/>
    </xf>
    <xf numFmtId="0" fontId="50" fillId="0" borderId="0" applyAlignment="1" pivotButton="0" quotePrefix="0" xfId="0">
      <alignment horizontal="center"/>
    </xf>
    <xf numFmtId="0" fontId="33" fillId="3" borderId="4" pivotButton="0" quotePrefix="0" xfId="2"/>
    <xf numFmtId="0" fontId="33" fillId="0" borderId="1" applyAlignment="1" pivotButton="0" quotePrefix="0" xfId="0">
      <alignment horizontal="center"/>
    </xf>
    <xf numFmtId="0" fontId="3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/>
    </xf>
    <xf numFmtId="0" fontId="33" fillId="0" borderId="4" pivotButton="0" quotePrefix="0" xfId="0"/>
    <xf numFmtId="0" fontId="33" fillId="0" borderId="4" applyAlignment="1" pivotButton="0" quotePrefix="0" xfId="0">
      <alignment horizontal="left"/>
    </xf>
    <xf numFmtId="16" fontId="33" fillId="0" borderId="4" applyAlignment="1" pivotButton="0" quotePrefix="0" xfId="0">
      <alignment horizontal="center"/>
    </xf>
    <xf numFmtId="0" fontId="52" fillId="0" borderId="1" applyAlignment="1" pivotButton="0" quotePrefix="0" xfId="0">
      <alignment vertical="center"/>
    </xf>
    <xf numFmtId="0" fontId="51" fillId="0" borderId="0" applyAlignment="1" pivotButton="0" quotePrefix="0" xfId="0">
      <alignment horizontal="center"/>
    </xf>
    <xf numFmtId="0" fontId="0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53" fillId="0" borderId="1" applyAlignment="1" pivotButton="0" quotePrefix="0" xfId="0">
      <alignment vertical="center"/>
    </xf>
    <xf numFmtId="0" fontId="53" fillId="0" borderId="1" applyAlignment="1" pivotButton="0" quotePrefix="0" xfId="0">
      <alignment horizontal="left" vertical="center"/>
    </xf>
    <xf numFmtId="0" fontId="54" fillId="0" borderId="4" pivotButton="0" quotePrefix="0" xfId="0"/>
    <xf numFmtId="0" fontId="54" fillId="0" borderId="4" applyAlignment="1" pivotButton="0" quotePrefix="0" xfId="0">
      <alignment horizontal="left"/>
    </xf>
    <xf numFmtId="0" fontId="54" fillId="0" borderId="4" applyAlignment="1" pivotButton="0" quotePrefix="0" xfId="0">
      <alignment horizontal="center"/>
    </xf>
    <xf numFmtId="16" fontId="54" fillId="0" borderId="4" applyAlignment="1" pivotButton="0" quotePrefix="0" xfId="0">
      <alignment horizontal="center"/>
    </xf>
    <xf numFmtId="0" fontId="53" fillId="0" borderId="4" applyAlignment="1" pivotButton="0" quotePrefix="0" xfId="0">
      <alignment horizontal="center" vertical="center"/>
    </xf>
    <xf numFmtId="0" fontId="53" fillId="0" borderId="4" applyAlignment="1" pivotButton="0" quotePrefix="0" xfId="0">
      <alignment vertical="center"/>
    </xf>
    <xf numFmtId="0" fontId="53" fillId="0" borderId="4" applyAlignment="1" pivotButton="0" quotePrefix="0" xfId="0">
      <alignment horizontal="left" vertical="center"/>
    </xf>
    <xf numFmtId="0" fontId="54" fillId="0" borderId="1" applyAlignment="1" pivotButton="0" quotePrefix="0" xfId="0">
      <alignment horizontal="center"/>
    </xf>
    <xf numFmtId="0" fontId="54" fillId="0" borderId="1" pivotButton="0" quotePrefix="0" xfId="0"/>
    <xf numFmtId="0" fontId="54" fillId="0" borderId="1" applyAlignment="1" pivotButton="0" quotePrefix="0" xfId="0">
      <alignment horizontal="left"/>
    </xf>
    <xf numFmtId="0" fontId="53" fillId="0" borderId="11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/>
    </xf>
    <xf numFmtId="14" fontId="31" fillId="0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center" vertical="center"/>
    </xf>
    <xf numFmtId="14" fontId="35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/>
    </xf>
    <xf numFmtId="14" fontId="52" fillId="0" borderId="1" applyAlignment="1" pivotButton="0" quotePrefix="0" xfId="0">
      <alignment horizontal="center" vertical="center"/>
    </xf>
    <xf numFmtId="0" fontId="52" fillId="0" borderId="1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16" fontId="53" fillId="0" borderId="4" applyAlignment="1" pivotButton="0" quotePrefix="0" xfId="0">
      <alignment horizontal="center" vertical="center"/>
    </xf>
    <xf numFmtId="14" fontId="31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2" pivotButton="0" quotePrefix="0" xfId="0"/>
    <xf numFmtId="0" fontId="41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  <xf numFmtId="14" fontId="12" fillId="0" borderId="1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/>
    </xf>
    <xf numFmtId="14" fontId="12" fillId="2" borderId="1" applyAlignment="1" pivotButton="0" quotePrefix="0" xfId="0">
      <alignment horizontal="center" vertical="center"/>
    </xf>
    <xf numFmtId="14" fontId="13" fillId="0" borderId="1" applyAlignment="1" pivotButton="0" quotePrefix="0" xfId="0">
      <alignment horizontal="center"/>
    </xf>
    <xf numFmtId="0" fontId="30" fillId="3" borderId="1" applyAlignment="1" pivotButton="0" quotePrefix="0" xfId="0">
      <alignment horizontal="center" vertical="center" wrapText="1"/>
    </xf>
    <xf numFmtId="14" fontId="47" fillId="0" borderId="1" applyAlignment="1" pivotButton="0" quotePrefix="0" xfId="0">
      <alignment horizontal="center" vertical="center"/>
    </xf>
    <xf numFmtId="0" fontId="48" fillId="3" borderId="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/>
    </xf>
    <xf numFmtId="0" fontId="0" fillId="0" borderId="10" pivotButton="0" quotePrefix="0" xfId="0"/>
    <xf numFmtId="14" fontId="35" fillId="0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 wrapText="1"/>
    </xf>
    <xf numFmtId="14" fontId="52" fillId="0" borderId="1" applyAlignment="1" pivotButton="0" quotePrefix="0" xfId="0">
      <alignment horizontal="center" vertical="center"/>
    </xf>
    <xf numFmtId="0" fontId="51" fillId="3" borderId="1" applyAlignment="1" pivotButton="0" quotePrefix="0" xfId="0">
      <alignment horizontal="center" vertical="center" wrapText="1"/>
    </xf>
    <xf numFmtId="0" fontId="58" fillId="7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5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55" fillId="7" borderId="13" applyAlignment="1" pivotButton="0" quotePrefix="0" xfId="0">
      <alignment horizontal="center" vertical="center" wrapText="1"/>
    </xf>
    <xf numFmtId="0" fontId="55" fillId="8" borderId="13" applyAlignment="1" pivotButton="0" quotePrefix="0" xfId="0">
      <alignment horizontal="center" vertical="center" wrapText="1"/>
    </xf>
    <xf numFmtId="0" fontId="55" fillId="9" borderId="13" applyAlignment="1" pivotButton="0" quotePrefix="0" xfId="0">
      <alignment horizontal="center" vertical="center" wrapText="1"/>
    </xf>
    <xf numFmtId="0" fontId="55" fillId="10" borderId="13" applyAlignment="1" pivotButton="0" quotePrefix="0" xfId="0">
      <alignment horizontal="center" vertical="center" wrapText="1"/>
    </xf>
    <xf numFmtId="0" fontId="55" fillId="11" borderId="13" applyAlignment="1" pivotButton="0" quotePrefix="0" xfId="0">
      <alignment horizontal="center" vertical="center" wrapText="1"/>
    </xf>
    <xf numFmtId="0" fontId="55" fillId="12" borderId="13" applyAlignment="1" pivotButton="0" quotePrefix="0" xfId="0">
      <alignment horizontal="center" vertical="center" wrapText="1"/>
    </xf>
    <xf numFmtId="0" fontId="55" fillId="13" borderId="13" applyAlignment="1" pivotButton="0" quotePrefix="0" xfId="0">
      <alignment horizontal="center" vertical="center" wrapText="1"/>
    </xf>
    <xf numFmtId="0" fontId="55" fillId="14" borderId="13" applyAlignment="1" pivotButton="0" quotePrefix="0" xfId="0">
      <alignment horizontal="center" vertical="center" wrapText="1"/>
    </xf>
    <xf numFmtId="0" fontId="55" fillId="15" borderId="13" applyAlignment="1" pivotButton="0" quotePrefix="0" xfId="0">
      <alignment horizontal="center" vertical="center" wrapText="1"/>
    </xf>
    <xf numFmtId="0" fontId="55" fillId="16" borderId="13" applyAlignment="1" pivotButton="0" quotePrefix="0" xfId="0">
      <alignment horizontal="center" vertical="center" wrapText="1"/>
    </xf>
    <xf numFmtId="0" fontId="55" fillId="17" borderId="13" applyAlignment="1" pivotButton="0" quotePrefix="0" xfId="0">
      <alignment horizontal="center" vertical="center" wrapText="1"/>
    </xf>
    <xf numFmtId="0" fontId="55" fillId="18" borderId="13" applyAlignment="1" pivotButton="0" quotePrefix="0" xfId="0">
      <alignment horizontal="center" vertical="center" wrapText="1"/>
    </xf>
    <xf numFmtId="0" fontId="56" fillId="19" borderId="13" applyAlignment="1" pivotButton="0" quotePrefix="0" xfId="0">
      <alignment horizontal="center" vertical="center" wrapText="1"/>
    </xf>
    <xf numFmtId="14" fontId="56" fillId="19" borderId="13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0" fontId="57" fillId="0" borderId="11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Neutral" xfId="2" builtinId="2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style="268" min="1" max="1"/>
    <col width="70" customWidth="1" style="268" min="2" max="2"/>
  </cols>
  <sheetData>
    <row r="1">
      <c r="A1" s="323" t="inlineStr">
        <is>
          <t>HOW TO FILL THIS TEMPLATE</t>
        </is>
      </c>
      <c r="B1" s="324" t="inlineStr"/>
    </row>
    <row r="2">
      <c r="A2" s="325" t="inlineStr"/>
      <c r="B2" s="326" t="inlineStr">
        <is>
          <t>Fill ONE car per row, starting at row 4 of the 'DNJ' sheet.</t>
        </is>
      </c>
    </row>
    <row r="3">
      <c r="A3" s="325" t="inlineStr"/>
      <c r="B3" s="326" t="inlineStr">
        <is>
          <t>Only 'CAR NUMB' is required. Everything else is optional — leave blank if unknown.</t>
        </is>
      </c>
    </row>
    <row r="4">
      <c r="A4" s="325" t="inlineStr"/>
      <c r="B4" s="326" t="inlineStr">
        <is>
          <t>Do NOT rename the 'DNJ' sheet or move the first columns. Then just Upload in the Owner Panel.</t>
        </is>
      </c>
    </row>
    <row r="5">
      <c r="A5" s="325" t="inlineStr"/>
      <c r="B5" s="326" t="inlineStr"/>
    </row>
    <row r="6">
      <c r="A6" s="323" t="inlineStr">
        <is>
          <t>CODE LEGEND</t>
        </is>
      </c>
      <c r="B6" s="324" t="inlineStr"/>
    </row>
    <row r="7">
      <c r="A7" s="325" t="inlineStr">
        <is>
          <t>Company / Make</t>
        </is>
      </c>
      <c r="B7" s="326" t="inlineStr">
        <is>
          <t>MARU=Maruti, TOYO=Toyota, HOND=Honda, MAHI=Mahindra, TATA=Tata, HYUN=Hyundai, MERC=Mercedes, JEEP=Jeep …</t>
        </is>
      </c>
    </row>
    <row r="8">
      <c r="A8" s="325" t="inlineStr">
        <is>
          <t>Fuel Type</t>
        </is>
      </c>
      <c r="B8" s="326" t="inlineStr">
        <is>
          <t>P=Petrol, D=Diesel, C=CNG, E=Electric, PC=Petrol+CNG, CP/CR=CNG combos, PH=Hybrid</t>
        </is>
      </c>
    </row>
    <row r="9">
      <c r="A9" s="325" t="inlineStr">
        <is>
          <t>Transmission</t>
        </is>
      </c>
      <c r="B9" s="326" t="inlineStr">
        <is>
          <t>A=Automatic, M=Manual</t>
        </is>
      </c>
    </row>
    <row r="10">
      <c r="A10" s="325" t="inlineStr">
        <is>
          <t>Owners</t>
        </is>
      </c>
      <c r="B10" s="326" t="inlineStr">
        <is>
          <t>1, 2, 3 …</t>
        </is>
      </c>
    </row>
    <row r="11">
      <c r="A11" s="325" t="inlineStr">
        <is>
          <t>Yes/No columns</t>
        </is>
      </c>
      <c r="B11" s="326" t="inlineStr">
        <is>
          <t>Y = Yes, N = No  (leave blank if unknown)</t>
        </is>
      </c>
    </row>
    <row r="12">
      <c r="A12" s="325" t="inlineStr">
        <is>
          <t>Dates</t>
        </is>
      </c>
      <c r="B12" s="326" t="inlineStr">
        <is>
          <t>YYYY-MM-DD  (e.g. 2026-01-22)</t>
        </is>
      </c>
    </row>
    <row r="13">
      <c r="A13" s="325" t="inlineStr">
        <is>
          <t>Rate / KM / numbers</t>
        </is>
      </c>
      <c r="B13" s="326" t="inlineStr">
        <is>
          <t>plain number, no commas (e.g. 550000, 45000)</t>
        </is>
      </c>
    </row>
    <row r="14">
      <c r="A14" s="325" t="inlineStr"/>
      <c r="B14" s="326" t="inlineStr"/>
    </row>
    <row r="15">
      <c r="A15" s="325" t="inlineStr">
        <is>
          <t>TIP</t>
        </is>
      </c>
      <c r="B15" s="326" t="inlineStr">
        <is>
          <t>For a single car it's easiest to use the 'Add New Car' button in the dashboard (dropdowns, no codes).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AY196"/>
  <sheetViews>
    <sheetView zoomScale="150" zoomScaleNormal="150" workbookViewId="0">
      <selection activeCell="A1" sqref="A1:AZ341"/>
    </sheetView>
  </sheetViews>
  <sheetFormatPr baseColWidth="8" defaultColWidth="10" defaultRowHeight="10.2"/>
  <cols>
    <col width="3.5546875" bestFit="1" customWidth="1" style="258" min="1" max="2"/>
    <col width="5.21875" customWidth="1" style="125" min="3" max="3"/>
    <col width="7.77734375" customWidth="1" style="124" min="4" max="4"/>
    <col width="6.88671875" bestFit="1" customWidth="1" style="258" min="5" max="5"/>
    <col width="5.5546875" bestFit="1" customWidth="1" style="258" min="6" max="6"/>
    <col width="5.77734375" customWidth="1" style="125" min="7" max="7"/>
    <col width="3" customWidth="1" style="258" min="8" max="8"/>
    <col width="3.109375" customWidth="1" style="258" min="9" max="9"/>
    <col width="2.88671875" customWidth="1" style="258" min="10" max="10"/>
    <col width="7.21875" bestFit="1" customWidth="1" style="124" min="11" max="11"/>
    <col width="4.6640625" customWidth="1" style="125" min="12" max="12"/>
    <col width="7.21875" bestFit="1" customWidth="1" style="258" min="13" max="13"/>
    <col width="9.21875" bestFit="1" customWidth="1" style="124" min="14" max="14"/>
    <col width="4.44140625" bestFit="1" customWidth="1" style="124" min="15" max="15"/>
    <col width="5.5546875" bestFit="1" customWidth="1" style="258" min="16" max="16"/>
    <col width="10" customWidth="1" style="146" min="17" max="17"/>
    <col width="10" customWidth="1" style="146" min="18" max="16384"/>
  </cols>
  <sheetData>
    <row r="1" ht="14.4" customFormat="1" customHeight="1" s="204">
      <c r="A1" s="304" t="inlineStr">
        <is>
          <t>CTRL F</t>
        </is>
      </c>
      <c r="B1" s="305" t="n"/>
      <c r="C1" s="306" t="n"/>
      <c r="D1" s="288" t="n"/>
      <c r="E1" s="301" t="n">
        <v>46183</v>
      </c>
      <c r="F1" s="302" t="n"/>
      <c r="G1" s="302" t="n"/>
      <c r="H1" s="302" t="n"/>
      <c r="I1" s="303" t="n"/>
      <c r="J1" s="287" t="n"/>
      <c r="K1" s="288" t="inlineStr"/>
      <c r="L1" s="247" t="n"/>
      <c r="M1" s="287" t="inlineStr"/>
      <c r="N1" s="301">
        <f>E1</f>
        <v/>
      </c>
      <c r="O1" s="303" t="n"/>
      <c r="P1" s="287" t="inlineStr"/>
    </row>
    <row r="2" customFormat="1" s="204">
      <c r="A2" s="307" t="n"/>
      <c r="B2" s="308" t="n"/>
      <c r="C2" s="309" t="n"/>
      <c r="D2" s="288" t="inlineStr">
        <is>
          <t>MODEL</t>
        </is>
      </c>
      <c r="E2" s="301" t="inlineStr"/>
      <c r="F2" s="287" t="inlineStr">
        <is>
          <t>INS</t>
        </is>
      </c>
      <c r="G2" s="247" t="inlineStr">
        <is>
          <t>VARI</t>
        </is>
      </c>
      <c r="H2" s="287" t="inlineStr">
        <is>
          <t>F</t>
        </is>
      </c>
      <c r="I2" s="287" t="inlineStr">
        <is>
          <t>T</t>
        </is>
      </c>
      <c r="J2" s="287" t="inlineStr">
        <is>
          <t>O</t>
        </is>
      </c>
      <c r="K2" s="288" t="inlineStr">
        <is>
          <t>KM</t>
        </is>
      </c>
      <c r="L2" s="247" t="inlineStr">
        <is>
          <t>COL</t>
        </is>
      </c>
      <c r="M2" s="287" t="inlineStr">
        <is>
          <t>RATE</t>
        </is>
      </c>
      <c r="N2" s="288" t="inlineStr">
        <is>
          <t>CAR NUMB</t>
        </is>
      </c>
      <c r="O2" s="288" t="n"/>
      <c r="P2" s="287" t="inlineStr">
        <is>
          <t>LOC</t>
        </is>
      </c>
      <c r="Q2" s="204" t="inlineStr">
        <is>
          <t>EXTERIOR 1</t>
        </is>
      </c>
      <c r="R2" s="204" t="n">
        <v>2</v>
      </c>
      <c r="S2" s="204" t="n">
        <v>3</v>
      </c>
      <c r="T2" s="204" t="n">
        <v>4</v>
      </c>
      <c r="U2" s="204" t="n">
        <v>5</v>
      </c>
      <c r="V2" s="204" t="n">
        <v>6</v>
      </c>
      <c r="W2" s="204" t="n">
        <v>7</v>
      </c>
      <c r="X2" s="204" t="n">
        <v>8</v>
      </c>
      <c r="Y2" s="204" t="n">
        <v>9</v>
      </c>
      <c r="Z2" s="204" t="n">
        <v>10</v>
      </c>
      <c r="AA2" s="204" t="inlineStr">
        <is>
          <t>INTERIOR 1</t>
        </is>
      </c>
      <c r="AB2" s="204" t="n">
        <v>2</v>
      </c>
      <c r="AC2" s="204" t="n">
        <v>3</v>
      </c>
      <c r="AD2" s="204" t="n">
        <v>4</v>
      </c>
      <c r="AE2" s="204" t="n">
        <v>5</v>
      </c>
      <c r="AF2" s="204" t="n">
        <v>6</v>
      </c>
      <c r="AG2" s="204" t="n">
        <v>7</v>
      </c>
      <c r="AH2" s="204" t="n">
        <v>8</v>
      </c>
      <c r="AI2" s="204" t="n">
        <v>9</v>
      </c>
      <c r="AJ2" s="204" t="n">
        <v>10</v>
      </c>
      <c r="AK2" s="204" t="inlineStr">
        <is>
          <t>VIDEO 1</t>
        </is>
      </c>
      <c r="AL2" s="204" t="n">
        <v>2</v>
      </c>
      <c r="AM2" s="204" t="n">
        <v>3</v>
      </c>
      <c r="AN2" s="204" t="n">
        <v>4</v>
      </c>
      <c r="AO2" s="204" t="n">
        <v>5</v>
      </c>
      <c r="AP2" s="204" t="inlineStr">
        <is>
          <t>INSTAGRAM 1</t>
        </is>
      </c>
      <c r="AQ2" s="204" t="n">
        <v>2</v>
      </c>
      <c r="AR2" s="204" t="n">
        <v>3</v>
      </c>
      <c r="AS2" s="204" t="n">
        <v>4</v>
      </c>
      <c r="AT2" s="204" t="n">
        <v>5</v>
      </c>
      <c r="AU2" s="204" t="inlineStr">
        <is>
          <t>YOUTUBE 1</t>
        </is>
      </c>
      <c r="AV2" s="204" t="n">
        <v>2</v>
      </c>
      <c r="AW2" s="204" t="n">
        <v>3</v>
      </c>
      <c r="AX2" s="204" t="n">
        <v>4</v>
      </c>
      <c r="AY2" s="204" t="n">
        <v>5</v>
      </c>
    </row>
    <row r="3">
      <c r="A3" s="261" t="n"/>
      <c r="B3" s="261" t="n"/>
      <c r="C3" s="121" t="n"/>
      <c r="D3" s="122" t="n"/>
      <c r="E3" s="261" t="n"/>
      <c r="F3" s="261" t="n"/>
      <c r="G3" s="121" t="n"/>
      <c r="H3" s="261" t="n"/>
      <c r="I3" s="261" t="n"/>
      <c r="J3" s="261" t="n"/>
      <c r="K3" s="122" t="n"/>
      <c r="L3" s="121" t="n"/>
      <c r="M3" s="261" t="n"/>
      <c r="N3" s="122" t="n"/>
      <c r="O3" s="122" t="n"/>
      <c r="P3" s="261" t="n"/>
    </row>
    <row r="4">
      <c r="A4" s="262" t="n">
        <v>171</v>
      </c>
      <c r="B4" s="262">
        <f>B3+1</f>
        <v/>
      </c>
      <c r="C4" s="263" t="inlineStr">
        <is>
          <t>MARU</t>
        </is>
      </c>
      <c r="D4" s="263" t="inlineStr">
        <is>
          <t>ALTO</t>
        </is>
      </c>
      <c r="E4" s="262" t="n">
        <v>2011</v>
      </c>
      <c r="F4" s="262" t="n"/>
      <c r="G4" s="263" t="inlineStr">
        <is>
          <t>VXI</t>
        </is>
      </c>
      <c r="H4" s="262" t="inlineStr">
        <is>
          <t>PC</t>
        </is>
      </c>
      <c r="I4" s="262" t="inlineStr">
        <is>
          <t>M</t>
        </is>
      </c>
      <c r="J4" s="262" t="n">
        <v>2</v>
      </c>
      <c r="K4" s="264" t="n">
        <v>173399</v>
      </c>
      <c r="L4" s="263" t="inlineStr">
        <is>
          <t>RED</t>
        </is>
      </c>
      <c r="M4" s="262" t="n">
        <v>109000</v>
      </c>
      <c r="N4" s="264" t="inlineStr">
        <is>
          <t>MH46N6389</t>
        </is>
      </c>
      <c r="O4" s="264" t="n">
        <v>6389</v>
      </c>
      <c r="P4" s="262" t="inlineStr">
        <is>
          <t>N6</t>
        </is>
      </c>
    </row>
    <row r="5" hidden="1" s="268">
      <c r="A5" s="258" t="n">
        <v>2</v>
      </c>
      <c r="B5" s="258">
        <f>B4+1</f>
        <v/>
      </c>
      <c r="C5" s="125" t="inlineStr">
        <is>
          <t>AUDI</t>
        </is>
      </c>
      <c r="D5" s="124" t="inlineStr">
        <is>
          <t>Q5</t>
        </is>
      </c>
      <c r="E5" s="258" t="n">
        <v>2012</v>
      </c>
      <c r="H5" s="258" t="inlineStr">
        <is>
          <t>D</t>
        </is>
      </c>
      <c r="I5" s="258" t="inlineStr">
        <is>
          <t>A</t>
        </is>
      </c>
      <c r="J5" s="258" t="n">
        <v>2</v>
      </c>
      <c r="L5" s="125" t="inlineStr">
        <is>
          <t>BROW</t>
        </is>
      </c>
      <c r="M5" s="258" t="n">
        <v>649000</v>
      </c>
      <c r="N5" s="124" t="inlineStr">
        <is>
          <t>MH01BB7388</t>
        </is>
      </c>
      <c r="O5" s="124" t="n">
        <v>7388</v>
      </c>
      <c r="P5" s="258" t="inlineStr">
        <is>
          <t>X2</t>
        </is>
      </c>
    </row>
    <row r="6">
      <c r="A6" s="258" t="n">
        <v>71</v>
      </c>
      <c r="B6" s="258">
        <f>B5+1</f>
        <v/>
      </c>
      <c r="C6" s="125" t="inlineStr">
        <is>
          <t>TOYO</t>
        </is>
      </c>
      <c r="D6" s="124" t="inlineStr">
        <is>
          <t>FORTUNER</t>
        </is>
      </c>
      <c r="E6" s="258" t="inlineStr">
        <is>
          <t>2011/08</t>
        </is>
      </c>
      <c r="H6" s="258" t="inlineStr">
        <is>
          <t>D</t>
        </is>
      </c>
      <c r="I6" s="258" t="inlineStr">
        <is>
          <t>M</t>
        </is>
      </c>
      <c r="J6" s="258" t="n">
        <v>2</v>
      </c>
      <c r="K6" s="124" t="n">
        <v>169773</v>
      </c>
      <c r="L6" s="125" t="inlineStr">
        <is>
          <t>WHITE</t>
        </is>
      </c>
      <c r="M6" s="258" t="n">
        <v>875000</v>
      </c>
      <c r="N6" s="124" t="inlineStr">
        <is>
          <t>MH04EX5958</t>
        </is>
      </c>
      <c r="O6" s="124" t="n">
        <v>5958</v>
      </c>
    </row>
    <row r="7">
      <c r="A7" s="262" t="n">
        <v>90</v>
      </c>
      <c r="B7" s="262">
        <f>B6+1</f>
        <v/>
      </c>
      <c r="C7" s="263" t="inlineStr">
        <is>
          <t xml:space="preserve">FORD </t>
        </is>
      </c>
      <c r="D7" s="264" t="inlineStr">
        <is>
          <t>FIESTS</t>
        </is>
      </c>
      <c r="E7" s="262" t="inlineStr">
        <is>
          <t>2007/27</t>
        </is>
      </c>
      <c r="F7" s="265" t="n">
        <v>46232</v>
      </c>
      <c r="G7" s="263" t="inlineStr">
        <is>
          <t>1.4 ZXI</t>
        </is>
      </c>
      <c r="H7" s="262" t="inlineStr">
        <is>
          <t>D</t>
        </is>
      </c>
      <c r="I7" s="262" t="inlineStr">
        <is>
          <t>M</t>
        </is>
      </c>
      <c r="J7" s="262" t="n">
        <v>3</v>
      </c>
      <c r="K7" s="264" t="n">
        <v>162893</v>
      </c>
      <c r="L7" s="263" t="inlineStr">
        <is>
          <t>PLAT</t>
        </is>
      </c>
      <c r="M7" s="262" t="n">
        <v>160000</v>
      </c>
      <c r="N7" s="264" t="inlineStr">
        <is>
          <t>MH12DV1008</t>
        </is>
      </c>
      <c r="O7" s="264" t="n">
        <v>1008</v>
      </c>
      <c r="P7" s="262" t="inlineStr">
        <is>
          <t>R5</t>
        </is>
      </c>
    </row>
    <row r="8" hidden="1" s="268">
      <c r="A8" s="258" t="n">
        <v>5</v>
      </c>
      <c r="B8" s="258">
        <f>B7+1</f>
        <v/>
      </c>
      <c r="C8" s="125" t="inlineStr">
        <is>
          <t>AUDI</t>
        </is>
      </c>
      <c r="D8" s="124" t="inlineStr">
        <is>
          <t>A6</t>
        </is>
      </c>
      <c r="E8" s="258" t="inlineStr">
        <is>
          <t>2012/09</t>
        </is>
      </c>
      <c r="G8" s="125" t="inlineStr">
        <is>
          <t>2.0 TDI</t>
        </is>
      </c>
      <c r="H8" s="258" t="inlineStr">
        <is>
          <t>D</t>
        </is>
      </c>
      <c r="I8" s="258" t="inlineStr">
        <is>
          <t>A</t>
        </is>
      </c>
      <c r="J8" s="258" t="n">
        <v>3</v>
      </c>
      <c r="L8" s="125" t="inlineStr">
        <is>
          <t>WHI</t>
        </is>
      </c>
      <c r="M8" s="258" t="n">
        <v>589000</v>
      </c>
      <c r="N8" s="124" t="inlineStr">
        <is>
          <t>MH04FU0707</t>
        </is>
      </c>
      <c r="O8" s="124" t="n">
        <v>707</v>
      </c>
      <c r="P8" s="258" t="inlineStr">
        <is>
          <t>Y3</t>
        </is>
      </c>
    </row>
    <row r="9">
      <c r="A9" s="261" t="n">
        <v>19</v>
      </c>
      <c r="B9" s="258">
        <f>B8+1</f>
        <v/>
      </c>
      <c r="C9" s="121" t="inlineStr">
        <is>
          <t>HYUN</t>
        </is>
      </c>
      <c r="D9" s="122" t="inlineStr">
        <is>
          <t>CRETA</t>
        </is>
      </c>
      <c r="E9" s="261" t="n">
        <v>2016</v>
      </c>
      <c r="F9" s="261" t="n"/>
      <c r="G9" s="121" t="inlineStr">
        <is>
          <t>NT</t>
        </is>
      </c>
      <c r="H9" s="261" t="inlineStr">
        <is>
          <t>P</t>
        </is>
      </c>
      <c r="I9" s="261" t="inlineStr">
        <is>
          <t>M</t>
        </is>
      </c>
      <c r="J9" s="261" t="n">
        <v>2</v>
      </c>
      <c r="K9" s="122" t="n">
        <v>161000</v>
      </c>
      <c r="L9" s="121" t="inlineStr">
        <is>
          <t>SILVER</t>
        </is>
      </c>
      <c r="M9" s="261" t="n">
        <v>540000</v>
      </c>
      <c r="N9" s="122" t="inlineStr">
        <is>
          <t>MH05CV5732</t>
        </is>
      </c>
      <c r="O9" s="122" t="n">
        <v>5732</v>
      </c>
      <c r="P9" s="261" t="inlineStr">
        <is>
          <t>J2</t>
        </is>
      </c>
    </row>
    <row r="10">
      <c r="A10" s="258" t="n">
        <v>121</v>
      </c>
      <c r="B10" s="258">
        <f>B9+1</f>
        <v/>
      </c>
      <c r="C10" s="121" t="inlineStr">
        <is>
          <t>MARU</t>
        </is>
      </c>
      <c r="D10" s="122" t="inlineStr">
        <is>
          <t>SX4</t>
        </is>
      </c>
      <c r="E10" s="261" t="n">
        <v>2010</v>
      </c>
      <c r="F10" s="261" t="n"/>
      <c r="G10" s="121" t="inlineStr">
        <is>
          <t>NT</t>
        </is>
      </c>
      <c r="H10" s="261" t="inlineStr">
        <is>
          <t>P</t>
        </is>
      </c>
      <c r="I10" s="261" t="inlineStr">
        <is>
          <t>M</t>
        </is>
      </c>
      <c r="J10" s="261" t="n">
        <v>2</v>
      </c>
      <c r="K10" s="122" t="n">
        <v>152390</v>
      </c>
      <c r="L10" s="121" t="inlineStr">
        <is>
          <t>SIL</t>
        </is>
      </c>
      <c r="M10" s="261" t="n">
        <v>165000</v>
      </c>
      <c r="N10" s="122" t="inlineStr">
        <is>
          <t>MH01AV2761</t>
        </is>
      </c>
      <c r="O10" s="122" t="n">
        <v>2761</v>
      </c>
      <c r="P10" s="261" t="inlineStr">
        <is>
          <t>Y6</t>
        </is>
      </c>
    </row>
    <row r="11">
      <c r="A11" s="258" t="n">
        <v>115</v>
      </c>
      <c r="B11" s="258">
        <f>B10+1</f>
        <v/>
      </c>
      <c r="C11" s="121" t="inlineStr">
        <is>
          <t>MARU</t>
        </is>
      </c>
      <c r="D11" s="122" t="inlineStr">
        <is>
          <t>DESIRE</t>
        </is>
      </c>
      <c r="E11" s="261" t="n">
        <v>2010</v>
      </c>
      <c r="F11" s="261" t="inlineStr">
        <is>
          <t>EXP</t>
        </is>
      </c>
      <c r="G11" s="121" t="inlineStr">
        <is>
          <t>VXI</t>
        </is>
      </c>
      <c r="H11" s="261" t="inlineStr">
        <is>
          <t>CR</t>
        </is>
      </c>
      <c r="I11" s="261" t="inlineStr">
        <is>
          <t>M</t>
        </is>
      </c>
      <c r="J11" s="261" t="n">
        <v>2</v>
      </c>
      <c r="K11" s="122" t="n">
        <v>150000</v>
      </c>
      <c r="L11" s="121" t="inlineStr">
        <is>
          <t>GREY</t>
        </is>
      </c>
      <c r="M11" s="261" t="n">
        <v>142000</v>
      </c>
      <c r="N11" s="122" t="inlineStr">
        <is>
          <t>MH06AZ2996</t>
        </is>
      </c>
      <c r="O11" s="122" t="n">
        <v>2996</v>
      </c>
      <c r="P11" s="261" t="inlineStr">
        <is>
          <t>U4</t>
        </is>
      </c>
    </row>
    <row r="12">
      <c r="A12" s="251" t="n">
        <v>15</v>
      </c>
      <c r="B12" s="258">
        <f>B11+1</f>
        <v/>
      </c>
      <c r="C12" s="164" t="inlineStr">
        <is>
          <t>HOND</t>
        </is>
      </c>
      <c r="D12" s="165" t="inlineStr">
        <is>
          <t>MOBILO</t>
        </is>
      </c>
      <c r="E12" s="251" t="n">
        <v>2014</v>
      </c>
      <c r="F12" s="251" t="n"/>
      <c r="G12" s="164" t="inlineStr">
        <is>
          <t>V</t>
        </is>
      </c>
      <c r="H12" s="251" t="inlineStr">
        <is>
          <t>D</t>
        </is>
      </c>
      <c r="I12" s="251" t="inlineStr">
        <is>
          <t>M</t>
        </is>
      </c>
      <c r="J12" s="251" t="n">
        <v>3</v>
      </c>
      <c r="K12" s="165" t="n">
        <v>144000</v>
      </c>
      <c r="L12" s="164" t="inlineStr">
        <is>
          <t>BLUE</t>
        </is>
      </c>
      <c r="M12" s="251" t="n">
        <v>329000</v>
      </c>
      <c r="N12" s="165" t="inlineStr">
        <is>
          <t>MH01BU6681</t>
        </is>
      </c>
      <c r="O12" s="165" t="n">
        <v>6681</v>
      </c>
      <c r="P12" s="251" t="inlineStr">
        <is>
          <t>H4</t>
        </is>
      </c>
    </row>
    <row r="13" hidden="1" s="268">
      <c r="A13" s="258" t="n">
        <v>21</v>
      </c>
      <c r="B13" s="258">
        <f>B12+1</f>
        <v/>
      </c>
      <c r="C13" s="125" t="inlineStr">
        <is>
          <t>HMFC</t>
        </is>
      </c>
      <c r="D13" s="124" t="inlineStr">
        <is>
          <t>PAJERO</t>
        </is>
      </c>
      <c r="E13" s="258" t="inlineStr">
        <is>
          <t>2012/12</t>
        </is>
      </c>
      <c r="G13" s="125" t="inlineStr">
        <is>
          <t>SPORT 2.5</t>
        </is>
      </c>
      <c r="H13" s="258" t="inlineStr">
        <is>
          <t>D</t>
        </is>
      </c>
      <c r="I13" s="258" t="inlineStr">
        <is>
          <t>M</t>
        </is>
      </c>
      <c r="J13" s="258" t="n">
        <v>2</v>
      </c>
      <c r="L13" s="125" t="inlineStr">
        <is>
          <t>BLACK</t>
        </is>
      </c>
      <c r="M13" s="258" t="n">
        <v>599000</v>
      </c>
      <c r="N13" s="124" t="inlineStr">
        <is>
          <t>MH09CL0101</t>
        </is>
      </c>
      <c r="O13" s="124" t="n">
        <v>101</v>
      </c>
      <c r="P13" s="258" t="inlineStr">
        <is>
          <t>C2</t>
        </is>
      </c>
    </row>
    <row r="14">
      <c r="A14" s="258" t="n">
        <v>134</v>
      </c>
      <c r="B14" s="258">
        <f>B13+1</f>
        <v/>
      </c>
      <c r="C14" s="121" t="inlineStr">
        <is>
          <t>TOYO</t>
        </is>
      </c>
      <c r="D14" s="122" t="inlineStr">
        <is>
          <t>ALTIS</t>
        </is>
      </c>
      <c r="E14" s="261" t="n">
        <v>2015</v>
      </c>
      <c r="F14" s="261" t="n"/>
      <c r="G14" s="121" t="inlineStr">
        <is>
          <t>JS</t>
        </is>
      </c>
      <c r="H14" s="261" t="inlineStr">
        <is>
          <t>C</t>
        </is>
      </c>
      <c r="I14" s="261" t="inlineStr">
        <is>
          <t>M</t>
        </is>
      </c>
      <c r="J14" s="261" t="n">
        <v>2</v>
      </c>
      <c r="K14" s="122" t="n">
        <v>130000</v>
      </c>
      <c r="L14" s="121" t="inlineStr">
        <is>
          <t>WHI</t>
        </is>
      </c>
      <c r="M14" s="261" t="n">
        <v>429000</v>
      </c>
      <c r="N14" s="122" t="inlineStr">
        <is>
          <t>MH01CD3720</t>
        </is>
      </c>
      <c r="O14" s="122" t="n">
        <v>3720</v>
      </c>
      <c r="P14" s="261" t="inlineStr">
        <is>
          <t>T4</t>
        </is>
      </c>
    </row>
    <row r="15" hidden="1" s="268">
      <c r="A15" s="262" t="n">
        <v>12</v>
      </c>
      <c r="B15" s="258">
        <f>B14+1</f>
        <v/>
      </c>
      <c r="C15" s="263" t="inlineStr">
        <is>
          <t xml:space="preserve">JEEP </t>
        </is>
      </c>
      <c r="D15" s="264" t="inlineStr">
        <is>
          <t>COMPASS</t>
        </is>
      </c>
      <c r="E15" s="262" t="n">
        <v>2020</v>
      </c>
      <c r="F15" s="262" t="n"/>
      <c r="G15" s="263" t="inlineStr">
        <is>
          <t>LTD +</t>
        </is>
      </c>
      <c r="H15" s="262" t="inlineStr">
        <is>
          <t>D</t>
        </is>
      </c>
      <c r="I15" s="262" t="inlineStr">
        <is>
          <t>A</t>
        </is>
      </c>
      <c r="J15" s="262" t="n">
        <v>2</v>
      </c>
      <c r="K15" s="264" t="n">
        <v>1095000</v>
      </c>
      <c r="L15" s="263" t="inlineStr">
        <is>
          <t>BLACK</t>
        </is>
      </c>
      <c r="M15" s="262" t="n">
        <v>4</v>
      </c>
      <c r="N15" s="264" t="inlineStr">
        <is>
          <t>MH46BV7001</t>
        </is>
      </c>
      <c r="O15" s="264" t="n">
        <v>7001</v>
      </c>
      <c r="P15" s="262" t="inlineStr">
        <is>
          <t>ABR</t>
        </is>
      </c>
    </row>
    <row r="16">
      <c r="A16" s="258" t="n">
        <v>173</v>
      </c>
      <c r="B16" s="258">
        <f>B15+1</f>
        <v/>
      </c>
      <c r="C16" s="121" t="inlineStr">
        <is>
          <t>MARU</t>
        </is>
      </c>
      <c r="D16" s="122" t="inlineStr">
        <is>
          <t>ALTO</t>
        </is>
      </c>
      <c r="E16" s="261" t="n">
        <v>2012</v>
      </c>
      <c r="F16" s="261" t="n"/>
      <c r="G16" s="121" t="inlineStr">
        <is>
          <t>K10 NT</t>
        </is>
      </c>
      <c r="H16" s="261" t="inlineStr">
        <is>
          <t>P</t>
        </is>
      </c>
      <c r="I16" s="261" t="inlineStr">
        <is>
          <t>M</t>
        </is>
      </c>
      <c r="J16" s="261" t="n">
        <v>3</v>
      </c>
      <c r="K16" s="122" t="n">
        <v>124000</v>
      </c>
      <c r="L16" s="121" t="inlineStr">
        <is>
          <t>BEIGE</t>
        </is>
      </c>
      <c r="M16" s="261" t="n">
        <v>125000</v>
      </c>
      <c r="N16" s="122" t="inlineStr">
        <is>
          <t>MH02CL3902</t>
        </is>
      </c>
      <c r="O16" s="122" t="n">
        <v>3902</v>
      </c>
      <c r="P16" s="261" t="inlineStr">
        <is>
          <t>W2</t>
        </is>
      </c>
    </row>
    <row r="17">
      <c r="A17" s="258" t="n">
        <v>149</v>
      </c>
      <c r="B17" s="258">
        <f>B16+1</f>
        <v/>
      </c>
      <c r="C17" s="125" t="inlineStr">
        <is>
          <t>VOX</t>
        </is>
      </c>
      <c r="D17" s="124" t="inlineStr">
        <is>
          <t>VENTO</t>
        </is>
      </c>
      <c r="E17" s="258" t="n">
        <v>2011</v>
      </c>
      <c r="G17" s="125" t="inlineStr">
        <is>
          <t>1.6 MP</t>
        </is>
      </c>
      <c r="H17" s="258" t="inlineStr">
        <is>
          <t>P</t>
        </is>
      </c>
      <c r="I17" s="258" t="inlineStr">
        <is>
          <t>M</t>
        </is>
      </c>
      <c r="J17" s="258" t="n">
        <v>2</v>
      </c>
      <c r="K17" s="124" t="n">
        <v>121135</v>
      </c>
      <c r="L17" s="125" t="inlineStr">
        <is>
          <t>WHIT</t>
        </is>
      </c>
      <c r="M17" s="258" t="n">
        <v>199000</v>
      </c>
      <c r="N17" s="124" t="inlineStr">
        <is>
          <t>MH14CS2341</t>
        </is>
      </c>
      <c r="O17" s="124" t="n">
        <v>2341</v>
      </c>
      <c r="P17" s="258" t="inlineStr">
        <is>
          <t>S3</t>
        </is>
      </c>
    </row>
    <row r="18">
      <c r="A18" s="258" t="n">
        <v>3</v>
      </c>
      <c r="B18" s="258">
        <f>B17+1</f>
        <v/>
      </c>
      <c r="C18" s="125" t="inlineStr">
        <is>
          <t>AUDI</t>
        </is>
      </c>
      <c r="D18" s="124" t="inlineStr">
        <is>
          <t>A4</t>
        </is>
      </c>
      <c r="E18" s="258" t="n">
        <v>2011</v>
      </c>
      <c r="H18" s="258" t="inlineStr">
        <is>
          <t>P</t>
        </is>
      </c>
      <c r="I18" s="258" t="inlineStr">
        <is>
          <t>A</t>
        </is>
      </c>
      <c r="J18" s="258" t="n">
        <v>2</v>
      </c>
      <c r="K18" s="124" t="n">
        <v>116159</v>
      </c>
      <c r="L18" s="125" t="inlineStr">
        <is>
          <t>WHI</t>
        </is>
      </c>
      <c r="M18" s="258" t="n">
        <v>389000</v>
      </c>
      <c r="N18" s="124" t="inlineStr">
        <is>
          <t>MH05AX0888</t>
        </is>
      </c>
      <c r="O18" s="124" t="n">
        <v>888</v>
      </c>
      <c r="P18" s="258" t="inlineStr">
        <is>
          <t>B1</t>
        </is>
      </c>
    </row>
    <row r="19">
      <c r="A19" s="258" t="n">
        <v>133</v>
      </c>
      <c r="B19" s="258">
        <f>B18+1</f>
        <v/>
      </c>
      <c r="C19" s="125" t="inlineStr">
        <is>
          <t>TOYO</t>
        </is>
      </c>
      <c r="D19" s="124" t="inlineStr">
        <is>
          <t>ALTIS</t>
        </is>
      </c>
      <c r="E19" s="258" t="n">
        <v>2012</v>
      </c>
      <c r="G19" s="125" t="inlineStr">
        <is>
          <t>1.8 G</t>
        </is>
      </c>
      <c r="H19" s="258" t="inlineStr">
        <is>
          <t>P</t>
        </is>
      </c>
      <c r="I19" s="258" t="inlineStr">
        <is>
          <t>M</t>
        </is>
      </c>
      <c r="J19" s="258" t="n">
        <v>2</v>
      </c>
      <c r="K19" s="124" t="n">
        <v>116000</v>
      </c>
      <c r="L19" s="125" t="inlineStr">
        <is>
          <t>BLACK</t>
        </is>
      </c>
      <c r="M19" s="258" t="n">
        <v>249000</v>
      </c>
      <c r="N19" s="124" t="inlineStr">
        <is>
          <t>MH03BH4523</t>
        </is>
      </c>
      <c r="O19" s="124" t="n">
        <v>4523</v>
      </c>
    </row>
    <row r="20">
      <c r="A20" s="261" t="n">
        <v>14</v>
      </c>
      <c r="B20" s="258">
        <f>B19+1</f>
        <v/>
      </c>
      <c r="C20" s="121" t="inlineStr">
        <is>
          <t>HOND</t>
        </is>
      </c>
      <c r="D20" s="122" t="inlineStr">
        <is>
          <t>MOBILO</t>
        </is>
      </c>
      <c r="E20" s="261" t="n">
        <v>2014</v>
      </c>
      <c r="F20" s="261" t="n"/>
      <c r="G20" s="121" t="inlineStr">
        <is>
          <t>V</t>
        </is>
      </c>
      <c r="H20" s="261" t="inlineStr">
        <is>
          <t>D</t>
        </is>
      </c>
      <c r="I20" s="261" t="inlineStr">
        <is>
          <t>M</t>
        </is>
      </c>
      <c r="J20" s="261" t="n">
        <v>2</v>
      </c>
      <c r="K20" s="122" t="n">
        <v>112000</v>
      </c>
      <c r="L20" s="121" t="inlineStr">
        <is>
          <t>GOL</t>
        </is>
      </c>
      <c r="M20" s="261" t="n">
        <v>365000</v>
      </c>
      <c r="N20" s="122" t="inlineStr">
        <is>
          <t>MH02DN7322</t>
        </is>
      </c>
      <c r="O20" s="122" t="n">
        <v>7322</v>
      </c>
      <c r="P20" s="261" t="inlineStr">
        <is>
          <t>H2</t>
        </is>
      </c>
    </row>
    <row r="21">
      <c r="A21" s="251" t="n">
        <v>8</v>
      </c>
      <c r="B21" s="258">
        <f>B20+1</f>
        <v/>
      </c>
      <c r="C21" s="164" t="inlineStr">
        <is>
          <t>FORD</t>
        </is>
      </c>
      <c r="D21" s="165" t="inlineStr">
        <is>
          <t>ECO SPORT</t>
        </is>
      </c>
      <c r="E21" s="251" t="n">
        <v>2014</v>
      </c>
      <c r="F21" s="251" t="n"/>
      <c r="G21" s="164" t="inlineStr">
        <is>
          <t>TITANI</t>
        </is>
      </c>
      <c r="H21" s="251" t="inlineStr">
        <is>
          <t>D</t>
        </is>
      </c>
      <c r="I21" s="251" t="inlineStr">
        <is>
          <t>M</t>
        </is>
      </c>
      <c r="J21" s="251" t="n">
        <v>2</v>
      </c>
      <c r="K21" s="165" t="n">
        <v>98000</v>
      </c>
      <c r="L21" s="164" t="inlineStr">
        <is>
          <t>ORA</t>
        </is>
      </c>
      <c r="M21" s="251" t="n">
        <v>395000</v>
      </c>
      <c r="N21" s="165" t="inlineStr">
        <is>
          <t>MH02DS6532</t>
        </is>
      </c>
      <c r="O21" s="165" t="n">
        <v>6532</v>
      </c>
      <c r="P21" s="251" t="inlineStr">
        <is>
          <t>L92</t>
        </is>
      </c>
    </row>
    <row r="22">
      <c r="A22" s="258" t="n">
        <v>78</v>
      </c>
      <c r="B22" s="258">
        <f>B21+1</f>
        <v/>
      </c>
      <c r="C22" s="125" t="inlineStr">
        <is>
          <t>MERC</t>
        </is>
      </c>
      <c r="D22" s="125" t="inlineStr">
        <is>
          <t>C CLASS</t>
        </is>
      </c>
      <c r="E22" s="258" t="inlineStr">
        <is>
          <t>2011/08</t>
        </is>
      </c>
      <c r="F22" s="258" t="inlineStr">
        <is>
          <t>EXP</t>
        </is>
      </c>
      <c r="G22" s="125" t="inlineStr">
        <is>
          <t>C 200</t>
        </is>
      </c>
      <c r="H22" s="258" t="inlineStr">
        <is>
          <t>P</t>
        </is>
      </c>
      <c r="I22" s="258" t="inlineStr">
        <is>
          <t>A</t>
        </is>
      </c>
      <c r="J22" s="258" t="n">
        <v>2</v>
      </c>
      <c r="K22" s="124" t="n">
        <v>95970</v>
      </c>
      <c r="L22" s="125" t="inlineStr">
        <is>
          <t>WHITE</t>
        </is>
      </c>
      <c r="M22" s="258" t="n">
        <v>389000</v>
      </c>
      <c r="N22" s="125" t="inlineStr">
        <is>
          <t>MH01AX7497</t>
        </is>
      </c>
      <c r="O22" s="124" t="n">
        <v>7497</v>
      </c>
      <c r="P22" s="258" t="inlineStr">
        <is>
          <t>A2</t>
        </is>
      </c>
    </row>
    <row r="23" hidden="1" s="268">
      <c r="A23" s="258" t="n">
        <v>20</v>
      </c>
      <c r="B23" s="258">
        <f>B22+1</f>
        <v/>
      </c>
      <c r="C23" s="125" t="inlineStr">
        <is>
          <t>HYUN</t>
        </is>
      </c>
      <c r="D23" s="124" t="inlineStr">
        <is>
          <t>CRETA</t>
        </is>
      </c>
      <c r="E23" s="258" t="n">
        <v>2017</v>
      </c>
      <c r="G23" s="125" t="inlineStr">
        <is>
          <t>1.6 VTVT</t>
        </is>
      </c>
      <c r="H23" s="258" t="inlineStr">
        <is>
          <t>P</t>
        </is>
      </c>
      <c r="I23" s="258" t="inlineStr">
        <is>
          <t>M</t>
        </is>
      </c>
      <c r="J23" s="258" t="n">
        <v>1</v>
      </c>
      <c r="L23" s="125" t="inlineStr">
        <is>
          <t>WHI</t>
        </is>
      </c>
      <c r="M23" s="258" t="n">
        <v>645000</v>
      </c>
      <c r="N23" s="124" t="inlineStr">
        <is>
          <t>MH02EP6223</t>
        </is>
      </c>
      <c r="O23" s="124" t="n">
        <v>6223</v>
      </c>
      <c r="P23" s="258" t="inlineStr">
        <is>
          <t>J1</t>
        </is>
      </c>
    </row>
    <row r="24">
      <c r="A24" s="258" t="n">
        <v>130</v>
      </c>
      <c r="B24" s="258">
        <f>B23+1</f>
        <v/>
      </c>
      <c r="C24" s="125" t="inlineStr">
        <is>
          <t>TOYO</t>
        </is>
      </c>
      <c r="D24" s="124" t="inlineStr">
        <is>
          <t>COROLLA</t>
        </is>
      </c>
      <c r="E24" s="258" t="inlineStr">
        <is>
          <t>2009/29</t>
        </is>
      </c>
      <c r="G24" s="125" t="inlineStr">
        <is>
          <t>1.8 G</t>
        </is>
      </c>
      <c r="H24" s="258" t="inlineStr">
        <is>
          <t>P</t>
        </is>
      </c>
      <c r="I24" s="258" t="inlineStr">
        <is>
          <t>M</t>
        </is>
      </c>
      <c r="J24" s="258" t="n">
        <v>2</v>
      </c>
      <c r="K24" s="124" t="n">
        <v>91257</v>
      </c>
      <c r="L24" s="125" t="inlineStr">
        <is>
          <t>RED</t>
        </is>
      </c>
      <c r="M24" s="258" t="n">
        <v>169000</v>
      </c>
      <c r="N24" s="124" t="inlineStr">
        <is>
          <t>MH02BJ4162</t>
        </is>
      </c>
      <c r="O24" s="124" t="n">
        <v>4162</v>
      </c>
    </row>
    <row r="25" hidden="1" s="268">
      <c r="A25" s="261" t="n">
        <v>22</v>
      </c>
      <c r="B25" s="258">
        <f>B24+1</f>
        <v/>
      </c>
      <c r="C25" s="121" t="inlineStr">
        <is>
          <t>HYUN</t>
        </is>
      </c>
      <c r="D25" s="122" t="inlineStr">
        <is>
          <t>SANTA FE</t>
        </is>
      </c>
      <c r="E25" s="261" t="n">
        <v>2014</v>
      </c>
      <c r="F25" s="261" t="n"/>
      <c r="G25" s="121" t="n"/>
      <c r="H25" s="261" t="inlineStr">
        <is>
          <t>D</t>
        </is>
      </c>
      <c r="I25" s="261" t="inlineStr">
        <is>
          <t>M</t>
        </is>
      </c>
      <c r="J25" s="261" t="n">
        <v>2</v>
      </c>
      <c r="K25" s="122" t="n"/>
      <c r="L25" s="121" t="inlineStr">
        <is>
          <t>WHI</t>
        </is>
      </c>
      <c r="M25" s="261" t="n">
        <v>399000</v>
      </c>
      <c r="N25" s="122" t="inlineStr">
        <is>
          <t>MH02DN0804</t>
        </is>
      </c>
      <c r="O25" s="122" t="n">
        <v>804</v>
      </c>
      <c r="P25" s="261" t="inlineStr">
        <is>
          <t>Y4</t>
        </is>
      </c>
    </row>
    <row r="26" hidden="1" s="268">
      <c r="A26" s="261" t="n">
        <v>23</v>
      </c>
      <c r="B26" s="258">
        <f>B25+1</f>
        <v/>
      </c>
      <c r="C26" s="121" t="inlineStr">
        <is>
          <t>HYUN</t>
        </is>
      </c>
      <c r="D26" s="122" t="inlineStr">
        <is>
          <t>SANTA FE</t>
        </is>
      </c>
      <c r="E26" s="261" t="n">
        <v>2014</v>
      </c>
      <c r="F26" s="261" t="n"/>
      <c r="G26" s="121" t="inlineStr">
        <is>
          <t>CRDI</t>
        </is>
      </c>
      <c r="H26" s="261" t="inlineStr">
        <is>
          <t>D</t>
        </is>
      </c>
      <c r="I26" s="261" t="inlineStr">
        <is>
          <t>M</t>
        </is>
      </c>
      <c r="J26" s="261" t="n">
        <v>1</v>
      </c>
      <c r="K26" s="122" t="n"/>
      <c r="L26" s="121" t="inlineStr">
        <is>
          <t>SIL</t>
        </is>
      </c>
      <c r="M26" s="261" t="n">
        <v>599000</v>
      </c>
      <c r="N26" s="122" t="inlineStr">
        <is>
          <t>MH46Z9459</t>
        </is>
      </c>
      <c r="O26" s="122" t="n">
        <v>9459</v>
      </c>
      <c r="P26" s="261" t="inlineStr">
        <is>
          <t>D2</t>
        </is>
      </c>
    </row>
    <row r="27" hidden="1" s="268">
      <c r="A27" s="261" t="n">
        <v>24</v>
      </c>
      <c r="B27" s="258">
        <f>B26+1</f>
        <v/>
      </c>
      <c r="C27" s="121" t="inlineStr">
        <is>
          <t>KIA</t>
        </is>
      </c>
      <c r="D27" s="122" t="inlineStr">
        <is>
          <t>SALTOS</t>
        </is>
      </c>
      <c r="E27" s="261" t="n">
        <v>2019</v>
      </c>
      <c r="F27" s="261" t="n"/>
      <c r="G27" s="121" t="inlineStr">
        <is>
          <t>HTK</t>
        </is>
      </c>
      <c r="H27" s="261" t="inlineStr">
        <is>
          <t>C</t>
        </is>
      </c>
      <c r="I27" s="261" t="inlineStr">
        <is>
          <t>M</t>
        </is>
      </c>
      <c r="J27" s="261" t="n">
        <v>1</v>
      </c>
      <c r="K27" s="122" t="n"/>
      <c r="L27" s="121" t="inlineStr">
        <is>
          <t>BLUE</t>
        </is>
      </c>
      <c r="M27" s="261" t="n">
        <v>799000</v>
      </c>
      <c r="N27" s="122" t="inlineStr">
        <is>
          <t>MH14HW2524</t>
        </is>
      </c>
      <c r="O27" s="122" t="n">
        <v>2524</v>
      </c>
      <c r="P27" s="261" t="inlineStr">
        <is>
          <t>Y3</t>
        </is>
      </c>
    </row>
    <row r="28">
      <c r="A28" s="258" t="n">
        <v>112</v>
      </c>
      <c r="B28" s="258">
        <f>B27+1</f>
        <v/>
      </c>
      <c r="C28" s="125" t="inlineStr">
        <is>
          <t>MARU</t>
        </is>
      </c>
      <c r="D28" s="124" t="inlineStr">
        <is>
          <t>CIAZ</t>
        </is>
      </c>
      <c r="E28" s="258" t="n">
        <v>2017</v>
      </c>
      <c r="H28" s="258" t="inlineStr">
        <is>
          <t>PC</t>
        </is>
      </c>
      <c r="I28" s="258" t="inlineStr">
        <is>
          <t>M</t>
        </is>
      </c>
      <c r="J28" s="258" t="n">
        <v>2</v>
      </c>
      <c r="K28" s="124" t="n">
        <v>87272</v>
      </c>
      <c r="L28" s="125" t="inlineStr">
        <is>
          <t>SIL</t>
        </is>
      </c>
      <c r="M28" s="258" t="n">
        <v>399000</v>
      </c>
      <c r="N28" s="124" t="inlineStr">
        <is>
          <t>MH02EK6990</t>
        </is>
      </c>
      <c r="O28" s="124" t="n">
        <v>6990</v>
      </c>
      <c r="P28" s="258" t="inlineStr">
        <is>
          <t>Y8</t>
        </is>
      </c>
    </row>
    <row r="29" hidden="1" s="268">
      <c r="A29" s="258" t="n">
        <v>26</v>
      </c>
      <c r="B29" s="258">
        <f>B28+1</f>
        <v/>
      </c>
      <c r="C29" s="125" t="inlineStr">
        <is>
          <t>MAHI</t>
        </is>
      </c>
      <c r="D29" s="124" t="inlineStr">
        <is>
          <t>KUV100</t>
        </is>
      </c>
      <c r="E29" s="258" t="n">
        <v>2016</v>
      </c>
      <c r="G29" s="125" t="inlineStr">
        <is>
          <t>K2</t>
        </is>
      </c>
      <c r="H29" s="258" t="inlineStr">
        <is>
          <t>P</t>
        </is>
      </c>
      <c r="I29" s="258" t="inlineStr">
        <is>
          <t>M</t>
        </is>
      </c>
      <c r="J29" s="258" t="n">
        <v>1</v>
      </c>
      <c r="L29" s="125" t="inlineStr">
        <is>
          <t>RED</t>
        </is>
      </c>
      <c r="M29" s="258" t="n">
        <v>169000</v>
      </c>
      <c r="N29" s="124" t="inlineStr">
        <is>
          <t>MH04HM0968</t>
        </is>
      </c>
      <c r="O29" s="124" t="n">
        <v>968</v>
      </c>
    </row>
    <row r="30">
      <c r="A30" s="261" t="n">
        <v>33</v>
      </c>
      <c r="B30" s="258">
        <f>B29+1</f>
        <v/>
      </c>
      <c r="C30" s="121" t="inlineStr">
        <is>
          <t>MAHI</t>
        </is>
      </c>
      <c r="D30" s="122" t="inlineStr">
        <is>
          <t>MARAZOO</t>
        </is>
      </c>
      <c r="E30" s="261" t="n">
        <v>2019</v>
      </c>
      <c r="F30" s="261" t="n"/>
      <c r="G30" s="121" t="inlineStr">
        <is>
          <t>7S M2</t>
        </is>
      </c>
      <c r="H30" s="261" t="inlineStr">
        <is>
          <t>D</t>
        </is>
      </c>
      <c r="I30" s="261" t="inlineStr">
        <is>
          <t>M</t>
        </is>
      </c>
      <c r="J30" s="261" t="n">
        <v>2</v>
      </c>
      <c r="K30" s="122" t="n">
        <v>85000</v>
      </c>
      <c r="L30" s="121" t="inlineStr">
        <is>
          <t>WHI</t>
        </is>
      </c>
      <c r="M30" s="261" t="n">
        <v>595000</v>
      </c>
      <c r="N30" s="122" t="inlineStr">
        <is>
          <t>MH49AT3584</t>
        </is>
      </c>
      <c r="O30" s="122" t="n">
        <v>3584</v>
      </c>
      <c r="P30" s="261" t="inlineStr">
        <is>
          <t>O2</t>
        </is>
      </c>
    </row>
    <row r="31">
      <c r="A31" s="258" t="n">
        <v>46</v>
      </c>
      <c r="B31" s="258">
        <f>B30+1</f>
        <v/>
      </c>
      <c r="C31" s="125" t="inlineStr">
        <is>
          <t>MARU</t>
        </is>
      </c>
      <c r="D31" s="124" t="inlineStr">
        <is>
          <t>ERTIGA</t>
        </is>
      </c>
      <c r="E31" s="258" t="n">
        <v>2019</v>
      </c>
      <c r="G31" s="125" t="inlineStr">
        <is>
          <t>SMART HYB</t>
        </is>
      </c>
      <c r="H31" s="258" t="inlineStr">
        <is>
          <t>PH</t>
        </is>
      </c>
      <c r="I31" s="258" t="inlineStr">
        <is>
          <t>A</t>
        </is>
      </c>
      <c r="J31" s="258" t="n">
        <v>1</v>
      </c>
      <c r="K31" s="124" t="n">
        <v>80000</v>
      </c>
      <c r="L31" s="125" t="inlineStr">
        <is>
          <t>BLUE</t>
        </is>
      </c>
      <c r="M31" s="258" t="n">
        <v>799000</v>
      </c>
      <c r="N31" s="124" t="inlineStr">
        <is>
          <t>MH03DA7934</t>
        </is>
      </c>
      <c r="O31" s="124" t="n">
        <v>7934</v>
      </c>
      <c r="P31" s="258" t="inlineStr">
        <is>
          <t>D3</t>
        </is>
      </c>
    </row>
    <row r="32">
      <c r="A32" s="261" t="n">
        <v>48</v>
      </c>
      <c r="B32" s="258">
        <f>B31+1</f>
        <v/>
      </c>
      <c r="C32" s="121" t="inlineStr">
        <is>
          <t>MARU</t>
        </is>
      </c>
      <c r="D32" s="124" t="inlineStr">
        <is>
          <t>ECCO</t>
        </is>
      </c>
      <c r="E32" s="261" t="n">
        <v>2015</v>
      </c>
      <c r="F32" s="261" t="n"/>
      <c r="G32" s="121" t="inlineStr">
        <is>
          <t>5 S AC</t>
        </is>
      </c>
      <c r="H32" s="261" t="inlineStr">
        <is>
          <t>CR</t>
        </is>
      </c>
      <c r="I32" s="261" t="inlineStr">
        <is>
          <t>M</t>
        </is>
      </c>
      <c r="J32" s="261" t="n">
        <v>3</v>
      </c>
      <c r="K32" s="122" t="n">
        <v>80000</v>
      </c>
      <c r="L32" s="121" t="inlineStr">
        <is>
          <t>WHI</t>
        </is>
      </c>
      <c r="M32" s="261" t="n">
        <v>295000</v>
      </c>
      <c r="N32" s="122" t="inlineStr">
        <is>
          <t>MH04FZ0167</t>
        </is>
      </c>
      <c r="O32" s="122" t="n">
        <v>167</v>
      </c>
      <c r="P32" s="261" t="inlineStr">
        <is>
          <t>P1</t>
        </is>
      </c>
    </row>
    <row r="33" hidden="1" s="268">
      <c r="A33" s="262" t="n">
        <v>30</v>
      </c>
      <c r="B33" s="258">
        <f>B32+1</f>
        <v/>
      </c>
      <c r="C33" s="263" t="inlineStr">
        <is>
          <t>MAHI</t>
        </is>
      </c>
      <c r="D33" s="165" t="inlineStr">
        <is>
          <t>XUV 500</t>
        </is>
      </c>
      <c r="E33" s="262" t="n">
        <v>2012</v>
      </c>
      <c r="F33" s="262" t="n"/>
      <c r="G33" s="263" t="n"/>
      <c r="H33" s="262" t="inlineStr">
        <is>
          <t>D</t>
        </is>
      </c>
      <c r="I33" s="262" t="inlineStr">
        <is>
          <t>M</t>
        </is>
      </c>
      <c r="J33" s="262" t="n">
        <v>2</v>
      </c>
      <c r="K33" s="264" t="inlineStr">
        <is>
          <t>T</t>
        </is>
      </c>
      <c r="L33" s="263" t="inlineStr">
        <is>
          <t>GREY</t>
        </is>
      </c>
      <c r="M33" s="262" t="n">
        <v>299000</v>
      </c>
      <c r="N33" s="264" t="inlineStr">
        <is>
          <t>MH02CL5661</t>
        </is>
      </c>
      <c r="O33" s="264" t="n">
        <v>5661</v>
      </c>
      <c r="P33" s="262" t="inlineStr">
        <is>
          <t>L2</t>
        </is>
      </c>
    </row>
    <row r="34" hidden="1" s="268">
      <c r="A34" s="258" t="n">
        <v>31</v>
      </c>
      <c r="B34" s="258">
        <f>B33+1</f>
        <v/>
      </c>
      <c r="C34" s="125" t="inlineStr">
        <is>
          <t>MAHI</t>
        </is>
      </c>
      <c r="D34" s="122" t="inlineStr">
        <is>
          <t>XUV 500</t>
        </is>
      </c>
      <c r="E34" s="258" t="n">
        <v>2014</v>
      </c>
      <c r="G34" s="125" t="inlineStr">
        <is>
          <t>W8</t>
        </is>
      </c>
      <c r="H34" s="258" t="inlineStr">
        <is>
          <t>D</t>
        </is>
      </c>
      <c r="I34" s="258" t="inlineStr">
        <is>
          <t>M</t>
        </is>
      </c>
      <c r="J34" s="258" t="n">
        <v>3</v>
      </c>
      <c r="L34" s="125" t="inlineStr">
        <is>
          <t>SILVER</t>
        </is>
      </c>
      <c r="M34" s="258" t="n">
        <v>319000</v>
      </c>
      <c r="N34" s="124" t="inlineStr">
        <is>
          <t>MH48S5354</t>
        </is>
      </c>
      <c r="O34" s="124" t="n">
        <v>5354</v>
      </c>
      <c r="P34" s="258" t="inlineStr">
        <is>
          <t>T3</t>
        </is>
      </c>
    </row>
    <row r="35" hidden="1" s="268">
      <c r="A35" s="261" t="n">
        <v>32</v>
      </c>
      <c r="B35" s="258">
        <f>B34+1</f>
        <v/>
      </c>
      <c r="C35" s="121" t="inlineStr">
        <is>
          <t>MAHI</t>
        </is>
      </c>
      <c r="D35" s="122" t="inlineStr">
        <is>
          <t>XUV 500</t>
        </is>
      </c>
      <c r="E35" s="261" t="n">
        <v>2015</v>
      </c>
      <c r="F35" s="261" t="n"/>
      <c r="G35" s="121" t="n"/>
      <c r="H35" s="261" t="inlineStr">
        <is>
          <t>D</t>
        </is>
      </c>
      <c r="I35" s="261" t="inlineStr">
        <is>
          <t>M</t>
        </is>
      </c>
      <c r="J35" s="261" t="n">
        <v>2</v>
      </c>
      <c r="K35" s="122" t="n"/>
      <c r="L35" s="121" t="inlineStr">
        <is>
          <t>SIL</t>
        </is>
      </c>
      <c r="M35" s="261" t="n">
        <v>499000</v>
      </c>
      <c r="N35" s="122" t="inlineStr">
        <is>
          <t>MH46AL7373</t>
        </is>
      </c>
      <c r="O35" s="122" t="n">
        <v>7373</v>
      </c>
      <c r="P35" s="261" t="inlineStr">
        <is>
          <t>D1</t>
        </is>
      </c>
    </row>
    <row r="36">
      <c r="A36" s="258" t="n">
        <v>79</v>
      </c>
      <c r="B36" s="258">
        <f>B35+1</f>
        <v/>
      </c>
      <c r="C36" s="121" t="inlineStr">
        <is>
          <t>MERC</t>
        </is>
      </c>
      <c r="D36" s="122" t="inlineStr">
        <is>
          <t>C CLASS</t>
        </is>
      </c>
      <c r="E36" s="261" t="n">
        <v>2013</v>
      </c>
      <c r="F36" s="261" t="n"/>
      <c r="G36" s="121" t="inlineStr">
        <is>
          <t>C200 ELEG</t>
        </is>
      </c>
      <c r="H36" s="261" t="inlineStr">
        <is>
          <t>P</t>
        </is>
      </c>
      <c r="I36" s="261" t="inlineStr">
        <is>
          <t>A</t>
        </is>
      </c>
      <c r="J36" s="261" t="n">
        <v>2</v>
      </c>
      <c r="K36" s="122" t="n">
        <v>80000</v>
      </c>
      <c r="L36" s="121" t="inlineStr">
        <is>
          <t>SIL</t>
        </is>
      </c>
      <c r="M36" s="261" t="n">
        <v>545000</v>
      </c>
      <c r="N36" s="122" t="inlineStr">
        <is>
          <t>MH04FZ4187</t>
        </is>
      </c>
      <c r="O36" s="122" t="n">
        <v>4187</v>
      </c>
      <c r="P36" s="261" t="inlineStr">
        <is>
          <t>POLI</t>
        </is>
      </c>
    </row>
    <row r="37">
      <c r="A37" s="258" t="n">
        <v>175</v>
      </c>
      <c r="B37" s="258">
        <f>B36+1</f>
        <v/>
      </c>
      <c r="C37" s="121" t="inlineStr">
        <is>
          <t>MARU</t>
        </is>
      </c>
      <c r="D37" s="122" t="inlineStr">
        <is>
          <t>WAGON R</t>
        </is>
      </c>
      <c r="E37" s="261" t="n">
        <v>2017</v>
      </c>
      <c r="F37" s="261" t="n"/>
      <c r="G37" s="121" t="inlineStr">
        <is>
          <t xml:space="preserve">LXI </t>
        </is>
      </c>
      <c r="H37" s="261" t="inlineStr">
        <is>
          <t>CR</t>
        </is>
      </c>
      <c r="I37" s="261" t="inlineStr">
        <is>
          <t>M</t>
        </is>
      </c>
      <c r="J37" s="261" t="n">
        <v>2</v>
      </c>
      <c r="K37" s="122" t="n">
        <v>80000</v>
      </c>
      <c r="L37" s="121" t="inlineStr">
        <is>
          <t>GRY</t>
        </is>
      </c>
      <c r="M37" s="261" t="n">
        <v>290000</v>
      </c>
      <c r="N37" s="122" t="inlineStr">
        <is>
          <t>MH04HN4169</t>
        </is>
      </c>
      <c r="O37" s="122" t="n">
        <v>4169</v>
      </c>
      <c r="P37" s="261" t="inlineStr">
        <is>
          <t>N5</t>
        </is>
      </c>
    </row>
    <row r="38">
      <c r="A38" s="258" t="n">
        <v>93</v>
      </c>
      <c r="B38" s="258">
        <f>B37+1</f>
        <v/>
      </c>
      <c r="C38" s="125" t="inlineStr">
        <is>
          <t>HOND</t>
        </is>
      </c>
      <c r="D38" s="124" t="inlineStr">
        <is>
          <t>CITY</t>
        </is>
      </c>
      <c r="E38" s="258" t="inlineStr">
        <is>
          <t>2006/27</t>
        </is>
      </c>
      <c r="G38" s="125" t="inlineStr">
        <is>
          <t>ZX GXI MT</t>
        </is>
      </c>
      <c r="H38" s="258" t="inlineStr">
        <is>
          <t>P</t>
        </is>
      </c>
      <c r="I38" s="258" t="inlineStr">
        <is>
          <t>M</t>
        </is>
      </c>
      <c r="J38" s="258" t="n">
        <v>3</v>
      </c>
      <c r="K38" s="124" t="n">
        <v>74635</v>
      </c>
      <c r="L38" s="125" t="inlineStr">
        <is>
          <t>SIL</t>
        </is>
      </c>
      <c r="M38" s="258" t="n">
        <v>88000</v>
      </c>
      <c r="N38" s="124" t="inlineStr">
        <is>
          <t>MH04CM8924</t>
        </is>
      </c>
      <c r="O38" s="124" t="n">
        <v>8924</v>
      </c>
      <c r="P38" s="258" t="inlineStr">
        <is>
          <t>Y2</t>
        </is>
      </c>
    </row>
    <row r="39" hidden="1" s="268">
      <c r="A39" s="258" t="n">
        <v>36</v>
      </c>
      <c r="B39" s="258">
        <f>B38+1</f>
        <v/>
      </c>
      <c r="C39" s="125" t="inlineStr">
        <is>
          <t>MAHI</t>
        </is>
      </c>
      <c r="D39" s="124" t="inlineStr">
        <is>
          <t>TUV300</t>
        </is>
      </c>
      <c r="E39" s="258" t="n">
        <v>2018</v>
      </c>
      <c r="G39" s="125" t="n">
        <v>10</v>
      </c>
      <c r="H39" s="258" t="inlineStr">
        <is>
          <t>D</t>
        </is>
      </c>
      <c r="I39" s="258" t="inlineStr">
        <is>
          <t>M</t>
        </is>
      </c>
      <c r="J39" s="258" t="n">
        <v>2</v>
      </c>
      <c r="L39" s="125" t="inlineStr">
        <is>
          <t>RED</t>
        </is>
      </c>
      <c r="M39" s="258" t="n">
        <v>695000</v>
      </c>
      <c r="N39" s="124" t="inlineStr">
        <is>
          <t>MH48AW6944</t>
        </is>
      </c>
      <c r="O39" s="124" t="n">
        <v>6944</v>
      </c>
      <c r="P39" s="258" t="inlineStr">
        <is>
          <t>H3</t>
        </is>
      </c>
    </row>
    <row r="40" hidden="1" s="268">
      <c r="A40" s="258" t="n">
        <v>101</v>
      </c>
      <c r="B40" s="258">
        <f>B39+1</f>
        <v/>
      </c>
      <c r="C40" s="125" t="inlineStr">
        <is>
          <t>HYUN</t>
        </is>
      </c>
      <c r="D40" s="124" t="inlineStr">
        <is>
          <t>VERNA</t>
        </is>
      </c>
      <c r="E40" s="258" t="n">
        <v>2013</v>
      </c>
      <c r="G40" s="125" t="inlineStr">
        <is>
          <t>1.6 VTVT</t>
        </is>
      </c>
      <c r="H40" s="258" t="inlineStr">
        <is>
          <t>P</t>
        </is>
      </c>
      <c r="I40" s="258" t="inlineStr">
        <is>
          <t>M</t>
        </is>
      </c>
      <c r="J40" s="258" t="n">
        <v>4</v>
      </c>
      <c r="L40" s="125" t="inlineStr">
        <is>
          <t>BEIGE</t>
        </is>
      </c>
      <c r="M40" s="258" t="inlineStr">
        <is>
          <t>DDDD</t>
        </is>
      </c>
      <c r="N40" s="124" t="inlineStr">
        <is>
          <t>MH01BG5330</t>
        </is>
      </c>
      <c r="O40" s="124" t="n">
        <v>5330</v>
      </c>
      <c r="P40" s="258" t="inlineStr">
        <is>
          <t>WEST</t>
        </is>
      </c>
    </row>
    <row r="41" hidden="1" s="268">
      <c r="A41" s="258" t="n">
        <v>38</v>
      </c>
      <c r="B41" s="258">
        <f>B40+1</f>
        <v/>
      </c>
      <c r="C41" s="125" t="inlineStr">
        <is>
          <t>MARU</t>
        </is>
      </c>
      <c r="D41" s="124" t="inlineStr">
        <is>
          <t>OMNI</t>
        </is>
      </c>
      <c r="E41" s="258" t="n">
        <v>2012</v>
      </c>
      <c r="F41" s="258" t="inlineStr">
        <is>
          <t>JUNE</t>
        </is>
      </c>
      <c r="G41" s="125" t="n">
        <v>8</v>
      </c>
      <c r="H41" s="258" t="inlineStr">
        <is>
          <t>P</t>
        </is>
      </c>
      <c r="I41" s="258" t="inlineStr">
        <is>
          <t>M</t>
        </is>
      </c>
      <c r="J41" s="258" t="n">
        <v>2</v>
      </c>
      <c r="L41" s="125" t="inlineStr">
        <is>
          <t>BLUE</t>
        </is>
      </c>
      <c r="M41" s="258" t="n">
        <v>175000</v>
      </c>
      <c r="N41" s="124" t="inlineStr">
        <is>
          <t>MH08Z1007</t>
        </is>
      </c>
      <c r="O41" s="124" t="n">
        <v>1007</v>
      </c>
      <c r="P41" s="258" t="inlineStr">
        <is>
          <t>R9</t>
        </is>
      </c>
    </row>
    <row r="42" hidden="1" s="268">
      <c r="A42" s="258" t="n">
        <v>39</v>
      </c>
      <c r="B42" s="258">
        <f>B41+1</f>
        <v/>
      </c>
      <c r="C42" s="125" t="inlineStr">
        <is>
          <t>MARU</t>
        </is>
      </c>
      <c r="D42" s="124" t="inlineStr">
        <is>
          <t>BREEZA</t>
        </is>
      </c>
      <c r="E42" s="258" t="n">
        <v>2016</v>
      </c>
      <c r="G42" s="125" t="inlineStr">
        <is>
          <t>ZDI PLUS</t>
        </is>
      </c>
      <c r="H42" s="258" t="inlineStr">
        <is>
          <t>D</t>
        </is>
      </c>
      <c r="I42" s="258" t="inlineStr">
        <is>
          <t>M</t>
        </is>
      </c>
      <c r="J42" s="258" t="n">
        <v>2</v>
      </c>
      <c r="L42" s="125" t="inlineStr">
        <is>
          <t>R+B</t>
        </is>
      </c>
      <c r="M42" s="258" t="n">
        <v>629000</v>
      </c>
      <c r="N42" s="124" t="inlineStr">
        <is>
          <t>MH46AU7115</t>
        </is>
      </c>
      <c r="O42" s="124" t="n">
        <v>7115</v>
      </c>
      <c r="P42" s="258" t="inlineStr">
        <is>
          <t>V3</t>
        </is>
      </c>
    </row>
    <row r="43" hidden="1" s="268">
      <c r="A43" s="258" t="n">
        <v>40</v>
      </c>
      <c r="B43" s="258">
        <f>B42+1</f>
        <v/>
      </c>
      <c r="C43" s="125" t="inlineStr">
        <is>
          <t>MARU</t>
        </is>
      </c>
      <c r="D43" s="124" t="inlineStr">
        <is>
          <t>BREZZA</t>
        </is>
      </c>
      <c r="E43" s="258" t="n">
        <v>2021</v>
      </c>
      <c r="G43" s="125" t="inlineStr">
        <is>
          <t>VXI</t>
        </is>
      </c>
      <c r="H43" s="258" t="inlineStr">
        <is>
          <t>P</t>
        </is>
      </c>
      <c r="I43" s="258" t="inlineStr">
        <is>
          <t>M</t>
        </is>
      </c>
      <c r="J43" s="258" t="n">
        <v>1</v>
      </c>
      <c r="L43" s="125" t="inlineStr">
        <is>
          <t>WHITE</t>
        </is>
      </c>
      <c r="M43" s="258" t="n">
        <v>649000</v>
      </c>
      <c r="N43" s="124" t="inlineStr">
        <is>
          <t>MH02FN4322</t>
        </is>
      </c>
      <c r="O43" s="124" t="n">
        <v>4322</v>
      </c>
      <c r="P43" s="258" t="inlineStr">
        <is>
          <t>J3</t>
        </is>
      </c>
    </row>
    <row r="44" hidden="1" s="268">
      <c r="A44" s="258" t="n">
        <v>41</v>
      </c>
      <c r="B44" s="258">
        <f>B43+1</f>
        <v/>
      </c>
      <c r="C44" s="125" t="inlineStr">
        <is>
          <t>MARU</t>
        </is>
      </c>
      <c r="D44" s="124" t="inlineStr">
        <is>
          <t>BREZZA</t>
        </is>
      </c>
      <c r="E44" s="258" t="n">
        <v>2022</v>
      </c>
      <c r="G44" s="125" t="inlineStr">
        <is>
          <t>VXI</t>
        </is>
      </c>
      <c r="H44" s="258" t="inlineStr">
        <is>
          <t>P</t>
        </is>
      </c>
      <c r="I44" s="258" t="inlineStr">
        <is>
          <t>M</t>
        </is>
      </c>
      <c r="J44" s="258" t="n">
        <v>1</v>
      </c>
      <c r="L44" s="125" t="inlineStr">
        <is>
          <t>WHI</t>
        </is>
      </c>
      <c r="M44" s="258" t="n">
        <v>699000</v>
      </c>
      <c r="N44" s="124" t="inlineStr">
        <is>
          <t>MH40CH4596</t>
        </is>
      </c>
      <c r="O44" s="124" t="n">
        <v>4596</v>
      </c>
      <c r="P44" s="258" t="inlineStr">
        <is>
          <t>L1</t>
        </is>
      </c>
    </row>
    <row r="45">
      <c r="A45" s="261" t="n">
        <v>29</v>
      </c>
      <c r="B45" s="258">
        <f>B44+1</f>
        <v/>
      </c>
      <c r="C45" s="121" t="inlineStr">
        <is>
          <t>MAHI</t>
        </is>
      </c>
      <c r="D45" s="122" t="inlineStr">
        <is>
          <t>KUV100</t>
        </is>
      </c>
      <c r="E45" s="261" t="n">
        <v>2018</v>
      </c>
      <c r="F45" s="261" t="n"/>
      <c r="G45" s="121" t="inlineStr">
        <is>
          <t>K2 6S G</t>
        </is>
      </c>
      <c r="H45" s="261" t="inlineStr">
        <is>
          <t>CP</t>
        </is>
      </c>
      <c r="I45" s="261" t="inlineStr">
        <is>
          <t>M</t>
        </is>
      </c>
      <c r="J45" s="261" t="n">
        <v>1</v>
      </c>
      <c r="K45" s="122" t="n">
        <v>72000</v>
      </c>
      <c r="L45" s="121" t="inlineStr">
        <is>
          <t>RED</t>
        </is>
      </c>
      <c r="M45" s="261" t="n">
        <v>295000</v>
      </c>
      <c r="N45" s="122" t="inlineStr">
        <is>
          <t>MH48AW6922</t>
        </is>
      </c>
      <c r="O45" s="122" t="n">
        <v>6922</v>
      </c>
      <c r="P45" s="261" t="inlineStr">
        <is>
          <t>Y7</t>
        </is>
      </c>
    </row>
    <row r="46">
      <c r="A46" s="258" t="n">
        <v>35</v>
      </c>
      <c r="B46" s="258">
        <f>B45+1</f>
        <v/>
      </c>
      <c r="C46" s="125" t="inlineStr">
        <is>
          <t>MAHI</t>
        </is>
      </c>
      <c r="D46" s="124" t="inlineStr">
        <is>
          <t>TUV300</t>
        </is>
      </c>
      <c r="E46" s="258" t="n">
        <v>2016</v>
      </c>
      <c r="G46" s="125" t="inlineStr">
        <is>
          <t>T8</t>
        </is>
      </c>
      <c r="H46" s="258" t="inlineStr">
        <is>
          <t>D</t>
        </is>
      </c>
      <c r="I46" s="258" t="inlineStr">
        <is>
          <t>A</t>
        </is>
      </c>
      <c r="J46" s="258" t="n">
        <v>2</v>
      </c>
      <c r="K46" s="124" t="n">
        <v>71000</v>
      </c>
      <c r="L46" s="125" t="inlineStr">
        <is>
          <t>RED</t>
        </is>
      </c>
      <c r="M46" s="258" t="n">
        <v>419000</v>
      </c>
      <c r="N46" s="124" t="inlineStr">
        <is>
          <t>MH04HM9191</t>
        </is>
      </c>
      <c r="O46" s="124" t="n">
        <v>9191</v>
      </c>
      <c r="P46" s="258" t="inlineStr">
        <is>
          <t>M1</t>
        </is>
      </c>
    </row>
    <row r="47" hidden="1" s="268">
      <c r="A47" s="258" t="n">
        <v>44</v>
      </c>
      <c r="B47" s="258">
        <f>B46+1</f>
        <v/>
      </c>
      <c r="C47" s="125" t="inlineStr">
        <is>
          <t>MARU</t>
        </is>
      </c>
      <c r="D47" s="124" t="inlineStr">
        <is>
          <t>ERTIGA</t>
        </is>
      </c>
      <c r="E47" s="258" t="n">
        <v>2017</v>
      </c>
      <c r="G47" s="125" t="inlineStr">
        <is>
          <t>ZXI</t>
        </is>
      </c>
      <c r="H47" s="258" t="inlineStr">
        <is>
          <t>PC</t>
        </is>
      </c>
      <c r="I47" s="258" t="inlineStr">
        <is>
          <t>M</t>
        </is>
      </c>
      <c r="J47" s="258" t="n">
        <v>2</v>
      </c>
      <c r="L47" s="125" t="inlineStr">
        <is>
          <t>WHIT</t>
        </is>
      </c>
      <c r="M47" s="258" t="n">
        <v>599000</v>
      </c>
      <c r="N47" s="124" t="inlineStr">
        <is>
          <t>MH12PN7682</t>
        </is>
      </c>
      <c r="O47" s="124" t="n">
        <v>7682</v>
      </c>
      <c r="P47" s="258" t="inlineStr">
        <is>
          <t>O3</t>
        </is>
      </c>
    </row>
    <row r="48">
      <c r="A48" s="261" t="n">
        <v>11</v>
      </c>
      <c r="B48" s="258">
        <f>B47+1</f>
        <v/>
      </c>
      <c r="C48" s="121" t="inlineStr">
        <is>
          <t>JEEP</t>
        </is>
      </c>
      <c r="D48" s="122" t="inlineStr">
        <is>
          <t>COMPASS</t>
        </is>
      </c>
      <c r="E48" s="261" t="n">
        <v>2018</v>
      </c>
      <c r="F48" s="261" t="n"/>
      <c r="G48" s="121" t="inlineStr">
        <is>
          <t>LTD OPP</t>
        </is>
      </c>
      <c r="H48" s="261" t="inlineStr">
        <is>
          <t>P</t>
        </is>
      </c>
      <c r="I48" s="261" t="inlineStr">
        <is>
          <t>A</t>
        </is>
      </c>
      <c r="J48" s="261" t="n">
        <v>1</v>
      </c>
      <c r="K48" s="122" t="n">
        <v>69000</v>
      </c>
      <c r="L48" s="121" t="inlineStr">
        <is>
          <t>WHITE</t>
        </is>
      </c>
      <c r="M48" s="261" t="n">
        <v>695000</v>
      </c>
      <c r="N48" s="122" t="inlineStr">
        <is>
          <t>MH02EZ6001</t>
        </is>
      </c>
      <c r="O48" s="122" t="n">
        <v>6001</v>
      </c>
      <c r="P48" s="261" t="inlineStr">
        <is>
          <t>Y3</t>
        </is>
      </c>
    </row>
    <row r="49">
      <c r="A49" s="261" t="n">
        <v>28</v>
      </c>
      <c r="B49" s="258">
        <f>B48+1</f>
        <v/>
      </c>
      <c r="C49" s="121" t="inlineStr">
        <is>
          <t>MAHI</t>
        </is>
      </c>
      <c r="D49" s="122" t="inlineStr">
        <is>
          <t>KUV100</t>
        </is>
      </c>
      <c r="E49" s="261" t="n">
        <v>2018</v>
      </c>
      <c r="F49" s="261" t="n"/>
      <c r="G49" s="121" t="inlineStr">
        <is>
          <t>K8</t>
        </is>
      </c>
      <c r="H49" s="261" t="inlineStr">
        <is>
          <t>D</t>
        </is>
      </c>
      <c r="I49" s="261" t="inlineStr">
        <is>
          <t>M</t>
        </is>
      </c>
      <c r="J49" s="261" t="n">
        <v>2</v>
      </c>
      <c r="K49" s="122" t="n">
        <v>66000</v>
      </c>
      <c r="L49" s="121" t="inlineStr">
        <is>
          <t>WHI</t>
        </is>
      </c>
      <c r="M49" s="261" t="n">
        <v>345000</v>
      </c>
      <c r="N49" s="122" t="inlineStr">
        <is>
          <t>MH47AB4348</t>
        </is>
      </c>
      <c r="O49" s="122" t="n">
        <v>4348</v>
      </c>
      <c r="P49" s="261" t="inlineStr">
        <is>
          <t>Y5</t>
        </is>
      </c>
    </row>
    <row r="50" hidden="1" s="268">
      <c r="A50" s="262" t="n">
        <v>47</v>
      </c>
      <c r="B50" s="258">
        <f>B49+1</f>
        <v/>
      </c>
      <c r="C50" s="263" t="inlineStr">
        <is>
          <t>MARU</t>
        </is>
      </c>
      <c r="D50" s="264" t="inlineStr">
        <is>
          <t>ECCO</t>
        </is>
      </c>
      <c r="E50" s="262" t="n">
        <v>2014</v>
      </c>
      <c r="F50" s="262" t="n"/>
      <c r="G50" s="263" t="inlineStr">
        <is>
          <t>5 SET + AC</t>
        </is>
      </c>
      <c r="H50" s="262" t="inlineStr">
        <is>
          <t>P</t>
        </is>
      </c>
      <c r="I50" s="262" t="inlineStr">
        <is>
          <t>M</t>
        </is>
      </c>
      <c r="J50" s="262" t="n">
        <v>1</v>
      </c>
      <c r="K50" s="264" t="n"/>
      <c r="L50" s="263" t="inlineStr">
        <is>
          <t>WHITE</t>
        </is>
      </c>
      <c r="M50" s="262" t="n">
        <v>295000</v>
      </c>
      <c r="N50" s="264" t="inlineStr">
        <is>
          <t>MH01BU1465</t>
        </is>
      </c>
      <c r="O50" s="264" t="n">
        <v>1465</v>
      </c>
      <c r="P50" s="262" t="n"/>
    </row>
    <row r="51" hidden="1" s="268">
      <c r="A51" s="258" t="n">
        <v>122</v>
      </c>
      <c r="B51" s="258">
        <f>B50+1</f>
        <v/>
      </c>
      <c r="C51" s="125" t="inlineStr">
        <is>
          <t>MARU</t>
        </is>
      </c>
      <c r="D51" s="124" t="inlineStr">
        <is>
          <t>SX4</t>
        </is>
      </c>
      <c r="E51" s="258" t="n">
        <v>2013</v>
      </c>
      <c r="F51" s="258" t="inlineStr">
        <is>
          <t>FEB</t>
        </is>
      </c>
      <c r="G51" s="125" t="inlineStr">
        <is>
          <t>VXI BS1V</t>
        </is>
      </c>
      <c r="H51" s="258" t="inlineStr">
        <is>
          <t>CR</t>
        </is>
      </c>
      <c r="I51" s="258" t="inlineStr">
        <is>
          <t>M</t>
        </is>
      </c>
      <c r="J51" s="258" t="n">
        <v>3</v>
      </c>
      <c r="K51" s="124" t="n">
        <v>88584</v>
      </c>
      <c r="L51" s="125" t="inlineStr">
        <is>
          <t>GREE</t>
        </is>
      </c>
      <c r="N51" s="124" t="inlineStr">
        <is>
          <t>MH06BE2441</t>
        </is>
      </c>
      <c r="O51" s="124" t="n">
        <v>2441</v>
      </c>
      <c r="P51" s="258" t="inlineStr">
        <is>
          <t>L3</t>
        </is>
      </c>
    </row>
    <row r="52">
      <c r="A52" s="258" t="n">
        <v>187</v>
      </c>
      <c r="B52" s="258">
        <f>B51+1</f>
        <v/>
      </c>
      <c r="C52" s="125" t="inlineStr">
        <is>
          <t xml:space="preserve">VOX </t>
        </is>
      </c>
      <c r="D52" s="124" t="inlineStr">
        <is>
          <t>POLO</t>
        </is>
      </c>
      <c r="E52" s="258" t="n">
        <v>2018</v>
      </c>
      <c r="F52" s="258" t="inlineStr">
        <is>
          <t>NOV</t>
        </is>
      </c>
      <c r="G52" s="125" t="inlineStr">
        <is>
          <t>1.0 MPI 56</t>
        </is>
      </c>
      <c r="H52" s="258" t="inlineStr">
        <is>
          <t>P</t>
        </is>
      </c>
      <c r="I52" s="258" t="inlineStr">
        <is>
          <t>M</t>
        </is>
      </c>
      <c r="J52" s="258" t="n">
        <v>1</v>
      </c>
      <c r="K52" s="124" t="n">
        <v>63000</v>
      </c>
      <c r="L52" s="125" t="inlineStr">
        <is>
          <t>RED</t>
        </is>
      </c>
      <c r="M52" s="258" t="n">
        <v>429000</v>
      </c>
      <c r="N52" s="124" t="inlineStr">
        <is>
          <t>MH24AS6911</t>
        </is>
      </c>
      <c r="O52" s="124" t="n">
        <v>6911</v>
      </c>
      <c r="P52" s="258" t="inlineStr">
        <is>
          <t>S2</t>
        </is>
      </c>
    </row>
    <row r="53">
      <c r="A53" s="261" t="n">
        <v>18</v>
      </c>
      <c r="B53" s="258">
        <f>B52+1</f>
        <v/>
      </c>
      <c r="C53" s="121" t="inlineStr">
        <is>
          <t>HOND</t>
        </is>
      </c>
      <c r="D53" s="122" t="inlineStr">
        <is>
          <t>WRV</t>
        </is>
      </c>
      <c r="E53" s="261" t="n">
        <v>2017</v>
      </c>
      <c r="F53" s="261" t="n"/>
      <c r="G53" s="121" t="inlineStr">
        <is>
          <t>VX MT</t>
        </is>
      </c>
      <c r="H53" s="261" t="inlineStr">
        <is>
          <t>P</t>
        </is>
      </c>
      <c r="I53" s="261" t="inlineStr">
        <is>
          <t>M</t>
        </is>
      </c>
      <c r="J53" s="261" t="n">
        <v>2</v>
      </c>
      <c r="K53" s="122" t="n">
        <v>60000</v>
      </c>
      <c r="L53" s="121" t="inlineStr">
        <is>
          <t>RED</t>
        </is>
      </c>
      <c r="M53" s="261" t="n">
        <v>495000</v>
      </c>
      <c r="N53" s="122" t="inlineStr">
        <is>
          <t>MH01CP5885</t>
        </is>
      </c>
      <c r="O53" s="122" t="n">
        <v>5885</v>
      </c>
      <c r="P53" s="261" t="inlineStr">
        <is>
          <t>P3</t>
        </is>
      </c>
    </row>
    <row r="54">
      <c r="A54" s="258" t="n">
        <v>131</v>
      </c>
      <c r="B54" s="258">
        <f>B53+1</f>
        <v/>
      </c>
      <c r="C54" s="121" t="inlineStr">
        <is>
          <t>TOYO</t>
        </is>
      </c>
      <c r="D54" s="122" t="inlineStr">
        <is>
          <t>ALTIS</t>
        </is>
      </c>
      <c r="E54" s="261" t="n">
        <v>2011</v>
      </c>
      <c r="F54" s="261" t="n"/>
      <c r="G54" s="121" t="inlineStr">
        <is>
          <t>J</t>
        </is>
      </c>
      <c r="H54" s="261" t="inlineStr">
        <is>
          <t>P</t>
        </is>
      </c>
      <c r="I54" s="261" t="inlineStr">
        <is>
          <t>M</t>
        </is>
      </c>
      <c r="J54" s="261" t="n">
        <v>2</v>
      </c>
      <c r="K54" s="122" t="n">
        <v>55000</v>
      </c>
      <c r="L54" s="121" t="inlineStr">
        <is>
          <t>CHAM</t>
        </is>
      </c>
      <c r="M54" s="261" t="n">
        <v>189000</v>
      </c>
      <c r="N54" s="122" t="inlineStr">
        <is>
          <t>MH02CB8570</t>
        </is>
      </c>
      <c r="O54" s="122" t="n">
        <v>8570</v>
      </c>
      <c r="P54" s="258" t="inlineStr">
        <is>
          <t>L4</t>
        </is>
      </c>
    </row>
    <row r="55" hidden="1" s="268">
      <c r="A55" s="262" t="n">
        <v>52</v>
      </c>
      <c r="B55" s="258">
        <f>B54+1</f>
        <v/>
      </c>
      <c r="C55" s="263" t="inlineStr">
        <is>
          <t>TATA</t>
        </is>
      </c>
      <c r="D55" s="264" t="inlineStr">
        <is>
          <t>SAFARI</t>
        </is>
      </c>
      <c r="E55" s="262" t="inlineStr">
        <is>
          <t>2011/05</t>
        </is>
      </c>
      <c r="F55" s="262" t="n"/>
      <c r="G55" s="263" t="inlineStr">
        <is>
          <t>VXI4*4</t>
        </is>
      </c>
      <c r="H55" s="262" t="inlineStr">
        <is>
          <t>D</t>
        </is>
      </c>
      <c r="I55" s="262" t="inlineStr">
        <is>
          <t>M</t>
        </is>
      </c>
      <c r="J55" s="262" t="n">
        <v>3</v>
      </c>
      <c r="K55" s="264" t="n"/>
      <c r="L55" s="263" t="inlineStr">
        <is>
          <t>WHITE</t>
        </is>
      </c>
      <c r="M55" s="262" t="n"/>
      <c r="N55" s="264" t="inlineStr">
        <is>
          <t>MH26AA7727</t>
        </is>
      </c>
      <c r="O55" s="264" t="n">
        <v>7707</v>
      </c>
      <c r="P55" s="262" t="inlineStr">
        <is>
          <t>M2</t>
        </is>
      </c>
    </row>
    <row r="56" hidden="1" s="268">
      <c r="A56" s="251" t="n">
        <v>53</v>
      </c>
      <c r="B56" s="258">
        <f>B55+1</f>
        <v/>
      </c>
      <c r="C56" s="164" t="inlineStr">
        <is>
          <t xml:space="preserve">TATA </t>
        </is>
      </c>
      <c r="D56" s="165" t="inlineStr">
        <is>
          <t>SAFARI</t>
        </is>
      </c>
      <c r="E56" s="251" t="n">
        <v>2013</v>
      </c>
      <c r="F56" s="251" t="n"/>
      <c r="G56" s="164" t="inlineStr">
        <is>
          <t>EX 4*2</t>
        </is>
      </c>
      <c r="H56" s="251" t="inlineStr">
        <is>
          <t>D</t>
        </is>
      </c>
      <c r="I56" s="251" t="inlineStr">
        <is>
          <t>M</t>
        </is>
      </c>
      <c r="J56" s="251" t="n">
        <v>2</v>
      </c>
      <c r="K56" s="165" t="n">
        <v>4</v>
      </c>
      <c r="L56" s="164" t="inlineStr">
        <is>
          <t>WHI</t>
        </is>
      </c>
      <c r="M56" s="251" t="n">
        <v>279000</v>
      </c>
      <c r="N56" s="165" t="inlineStr">
        <is>
          <t>MH01BG1360</t>
        </is>
      </c>
      <c r="O56" s="165" t="n">
        <v>1360</v>
      </c>
      <c r="P56" s="251" t="inlineStr">
        <is>
          <t>G1</t>
        </is>
      </c>
    </row>
    <row r="57" hidden="1" s="268">
      <c r="A57" s="258" t="n">
        <v>54</v>
      </c>
      <c r="B57" s="258">
        <f>B56+1</f>
        <v/>
      </c>
      <c r="C57" s="125" t="inlineStr">
        <is>
          <t xml:space="preserve">TATA </t>
        </is>
      </c>
      <c r="D57" s="124" t="inlineStr">
        <is>
          <t>SAFARI</t>
        </is>
      </c>
      <c r="E57" s="258" t="n">
        <v>2013</v>
      </c>
      <c r="H57" s="258" t="inlineStr">
        <is>
          <t>D</t>
        </is>
      </c>
      <c r="I57" s="258" t="inlineStr">
        <is>
          <t>M</t>
        </is>
      </c>
      <c r="L57" s="125" t="inlineStr">
        <is>
          <t>WHI</t>
        </is>
      </c>
      <c r="M57" s="258" t="n">
        <v>299000</v>
      </c>
      <c r="N57" s="124" t="inlineStr">
        <is>
          <t>MH02CZ2300</t>
        </is>
      </c>
      <c r="O57" s="124" t="n">
        <v>2300</v>
      </c>
      <c r="P57" s="258" t="inlineStr">
        <is>
          <t>G2</t>
        </is>
      </c>
    </row>
    <row r="58" hidden="1" s="268">
      <c r="A58" s="258" t="n">
        <v>55</v>
      </c>
      <c r="B58" s="258">
        <f>B57+1</f>
        <v/>
      </c>
      <c r="C58" s="125" t="inlineStr">
        <is>
          <t>TATA</t>
        </is>
      </c>
      <c r="D58" s="124" t="inlineStr">
        <is>
          <t>NEXON</t>
        </is>
      </c>
      <c r="E58" s="258" t="n">
        <v>2017</v>
      </c>
      <c r="G58" s="125" t="inlineStr">
        <is>
          <t>ZX+</t>
        </is>
      </c>
      <c r="H58" s="258" t="inlineStr">
        <is>
          <t>P</t>
        </is>
      </c>
      <c r="I58" s="258" t="inlineStr">
        <is>
          <t>M</t>
        </is>
      </c>
      <c r="J58" s="258" t="n">
        <v>3</v>
      </c>
      <c r="L58" s="125" t="inlineStr">
        <is>
          <t>RED</t>
        </is>
      </c>
      <c r="M58" s="258" t="n">
        <v>4</v>
      </c>
      <c r="N58" s="124" t="inlineStr">
        <is>
          <t>MH46A9571</t>
        </is>
      </c>
      <c r="O58" s="124" t="n">
        <v>9571</v>
      </c>
      <c r="P58" s="258" t="inlineStr">
        <is>
          <t>ABR</t>
        </is>
      </c>
    </row>
    <row r="59" hidden="1" s="268">
      <c r="A59" s="262" t="n">
        <v>56</v>
      </c>
      <c r="B59" s="258">
        <f>B58+1</f>
        <v/>
      </c>
      <c r="C59" s="257" t="inlineStr">
        <is>
          <t>TATA</t>
        </is>
      </c>
      <c r="D59" s="264" t="inlineStr">
        <is>
          <t>NEXON</t>
        </is>
      </c>
      <c r="E59" s="262" t="n">
        <v>2018</v>
      </c>
      <c r="F59" s="262" t="n"/>
      <c r="G59" s="263" t="inlineStr">
        <is>
          <t>XE 1.2 RTN</t>
        </is>
      </c>
      <c r="H59" s="262" t="inlineStr">
        <is>
          <t>P</t>
        </is>
      </c>
      <c r="I59" s="262" t="inlineStr">
        <is>
          <t>M</t>
        </is>
      </c>
      <c r="J59" s="262" t="n">
        <v>1</v>
      </c>
      <c r="K59" s="264" t="n">
        <v>0</v>
      </c>
      <c r="L59" s="263" t="inlineStr">
        <is>
          <t>RED</t>
        </is>
      </c>
      <c r="M59" s="262" t="n">
        <v>469000</v>
      </c>
      <c r="N59" s="264" t="inlineStr">
        <is>
          <t>MH04JM2854</t>
        </is>
      </c>
      <c r="O59" s="264" t="n">
        <v>2854</v>
      </c>
      <c r="P59" s="262" t="inlineStr">
        <is>
          <t>I2</t>
        </is>
      </c>
    </row>
    <row r="60">
      <c r="A60" s="258" t="n">
        <v>127</v>
      </c>
      <c r="B60" s="258">
        <f>B59+1</f>
        <v/>
      </c>
      <c r="C60" s="125" t="inlineStr">
        <is>
          <t>SKODA</t>
        </is>
      </c>
      <c r="D60" s="124" t="inlineStr">
        <is>
          <t>RAPID</t>
        </is>
      </c>
      <c r="E60" s="258" t="n">
        <v>2016</v>
      </c>
      <c r="G60" s="125" t="inlineStr">
        <is>
          <t>ACTIVE</t>
        </is>
      </c>
      <c r="H60" s="258" t="inlineStr">
        <is>
          <t>D</t>
        </is>
      </c>
      <c r="I60" s="258" t="inlineStr">
        <is>
          <t>M</t>
        </is>
      </c>
      <c r="J60" s="258" t="n">
        <v>2</v>
      </c>
      <c r="K60" s="124" t="n">
        <v>53934</v>
      </c>
      <c r="L60" s="125" t="inlineStr">
        <is>
          <t>WHI</t>
        </is>
      </c>
      <c r="M60" s="258" t="n">
        <v>389000</v>
      </c>
      <c r="N60" s="124" t="inlineStr">
        <is>
          <t>MH02EH0621</t>
        </is>
      </c>
      <c r="O60" s="124" t="n">
        <v>621</v>
      </c>
    </row>
    <row r="61">
      <c r="A61" s="258" t="n">
        <v>99</v>
      </c>
      <c r="B61" s="258">
        <f>B60+1</f>
        <v/>
      </c>
      <c r="C61" s="125" t="inlineStr">
        <is>
          <t>HOND</t>
        </is>
      </c>
      <c r="D61" s="124" t="inlineStr">
        <is>
          <t>CITY</t>
        </is>
      </c>
      <c r="E61" s="258" t="n">
        <v>2016</v>
      </c>
      <c r="G61" s="125" t="inlineStr">
        <is>
          <t>I VTEC</t>
        </is>
      </c>
      <c r="H61" s="258" t="inlineStr">
        <is>
          <t>P</t>
        </is>
      </c>
      <c r="I61" s="258" t="inlineStr">
        <is>
          <t>M</t>
        </is>
      </c>
      <c r="J61" s="258" t="n">
        <v>2</v>
      </c>
      <c r="K61" s="124" t="n">
        <v>50000</v>
      </c>
      <c r="L61" s="125" t="inlineStr">
        <is>
          <t>SIL</t>
        </is>
      </c>
      <c r="M61" s="258" t="n">
        <v>389000</v>
      </c>
      <c r="N61" s="124" t="inlineStr">
        <is>
          <t>MH01CH3610</t>
        </is>
      </c>
      <c r="O61" s="124" t="n">
        <v>3610</v>
      </c>
      <c r="P61" s="258" t="inlineStr">
        <is>
          <t>Z2</t>
        </is>
      </c>
    </row>
    <row r="62">
      <c r="A62" s="258" t="n">
        <v>59</v>
      </c>
      <c r="B62" s="258">
        <f>B61+1</f>
        <v/>
      </c>
      <c r="C62" s="125" t="inlineStr">
        <is>
          <t>TATA</t>
        </is>
      </c>
      <c r="D62" s="124" t="inlineStr">
        <is>
          <t>NEXON</t>
        </is>
      </c>
      <c r="E62" s="258" t="n">
        <v>2022</v>
      </c>
      <c r="G62" s="125" t="inlineStr">
        <is>
          <t>XM1.2RTN</t>
        </is>
      </c>
      <c r="H62" s="258" t="inlineStr">
        <is>
          <t>P</t>
        </is>
      </c>
      <c r="I62" s="258" t="inlineStr">
        <is>
          <t>M</t>
        </is>
      </c>
      <c r="J62" s="258" t="n">
        <v>1</v>
      </c>
      <c r="K62" s="124" t="n">
        <v>45065</v>
      </c>
      <c r="L62" s="125" t="inlineStr">
        <is>
          <t>WHI</t>
        </is>
      </c>
      <c r="M62" s="258" t="n">
        <v>689000</v>
      </c>
      <c r="N62" s="124" t="inlineStr">
        <is>
          <t>MH50U0269</t>
        </is>
      </c>
      <c r="O62" s="124" t="n">
        <v>269</v>
      </c>
      <c r="P62" s="258" t="inlineStr">
        <is>
          <t>I3</t>
        </is>
      </c>
    </row>
    <row r="63" hidden="1" s="268">
      <c r="A63" s="251" t="n">
        <v>60</v>
      </c>
      <c r="B63" s="258">
        <f>B62+1</f>
        <v/>
      </c>
      <c r="C63" s="164" t="inlineStr">
        <is>
          <t>TOYO</t>
        </is>
      </c>
      <c r="D63" s="165" t="inlineStr">
        <is>
          <t>INNOVA</t>
        </is>
      </c>
      <c r="E63" s="251" t="n">
        <v>2006</v>
      </c>
      <c r="F63" s="251" t="n"/>
      <c r="G63" s="164" t="inlineStr">
        <is>
          <t>2.5 T5</t>
        </is>
      </c>
      <c r="H63" s="251" t="inlineStr">
        <is>
          <t>D</t>
        </is>
      </c>
      <c r="I63" s="251" t="inlineStr">
        <is>
          <t>M</t>
        </is>
      </c>
      <c r="J63" s="251" t="n">
        <v>5</v>
      </c>
      <c r="K63" s="165" t="n"/>
      <c r="L63" s="164" t="inlineStr">
        <is>
          <t>WHI</t>
        </is>
      </c>
      <c r="M63" s="251" t="n">
        <v>249000</v>
      </c>
      <c r="N63" s="165" t="inlineStr">
        <is>
          <t>MH05AF8000</t>
        </is>
      </c>
      <c r="O63" s="165" t="n">
        <v>8000</v>
      </c>
      <c r="P63" s="251" t="inlineStr">
        <is>
          <t>C1</t>
        </is>
      </c>
    </row>
    <row r="64" hidden="1" s="268">
      <c r="A64" s="126" t="n">
        <v>174</v>
      </c>
      <c r="B64" s="258">
        <f>B63+1</f>
        <v/>
      </c>
      <c r="C64" s="205" t="inlineStr">
        <is>
          <t>MARU</t>
        </is>
      </c>
      <c r="D64" s="133" t="inlineStr">
        <is>
          <t>OMNI</t>
        </is>
      </c>
      <c r="E64" s="126" t="inlineStr">
        <is>
          <t>2004/29</t>
        </is>
      </c>
      <c r="F64" s="126" t="inlineStr">
        <is>
          <t>MAY</t>
        </is>
      </c>
      <c r="G64" s="205" t="inlineStr">
        <is>
          <t>BS4</t>
        </is>
      </c>
      <c r="H64" s="126" t="inlineStr">
        <is>
          <t>P</t>
        </is>
      </c>
      <c r="I64" s="126" t="inlineStr">
        <is>
          <t>M</t>
        </is>
      </c>
      <c r="J64" s="126" t="n">
        <v>3</v>
      </c>
      <c r="K64" s="206" t="n">
        <v>145000</v>
      </c>
      <c r="L64" s="205" t="inlineStr">
        <is>
          <t>WHI</t>
        </is>
      </c>
      <c r="M64" s="126" t="n">
        <v>4</v>
      </c>
      <c r="N64" s="206" t="inlineStr">
        <is>
          <t>MH02XA3895</t>
        </is>
      </c>
      <c r="O64" s="206" t="n">
        <v>3895</v>
      </c>
      <c r="P64" s="126" t="inlineStr">
        <is>
          <t>R4</t>
        </is>
      </c>
    </row>
    <row r="65" hidden="1" s="268">
      <c r="A65" s="251" t="n">
        <v>62</v>
      </c>
      <c r="B65" s="258">
        <f>B64+1</f>
        <v/>
      </c>
      <c r="C65" s="164" t="inlineStr">
        <is>
          <t>TOYO</t>
        </is>
      </c>
      <c r="D65" s="165" t="inlineStr">
        <is>
          <t>INNOVA</t>
        </is>
      </c>
      <c r="E65" s="251" t="inlineStr">
        <is>
          <t>2008/28</t>
        </is>
      </c>
      <c r="F65" s="251" t="n"/>
      <c r="G65" s="164" t="inlineStr">
        <is>
          <t>2.5G</t>
        </is>
      </c>
      <c r="H65" s="251" t="inlineStr">
        <is>
          <t>D</t>
        </is>
      </c>
      <c r="I65" s="251" t="inlineStr">
        <is>
          <t>M</t>
        </is>
      </c>
      <c r="J65" s="251" t="n">
        <v>3</v>
      </c>
      <c r="K65" s="165" t="n"/>
      <c r="L65" s="164" t="inlineStr">
        <is>
          <t>GOLD</t>
        </is>
      </c>
      <c r="M65" s="251" t="n">
        <v>329000</v>
      </c>
      <c r="N65" s="165" t="inlineStr">
        <is>
          <t>MH02JP8616</t>
        </is>
      </c>
      <c r="O65" s="165" t="n">
        <v>8616</v>
      </c>
      <c r="P65" s="251" t="inlineStr">
        <is>
          <t>F2</t>
        </is>
      </c>
    </row>
    <row r="66" hidden="1" s="268">
      <c r="A66" s="261" t="n">
        <v>63</v>
      </c>
      <c r="B66" s="258">
        <f>B65+1</f>
        <v/>
      </c>
      <c r="C66" s="121" t="inlineStr">
        <is>
          <t>TOYO</t>
        </is>
      </c>
      <c r="D66" s="122" t="inlineStr">
        <is>
          <t>INNOVA</t>
        </is>
      </c>
      <c r="E66" s="261" t="n">
        <v>2010</v>
      </c>
      <c r="F66" s="261" t="n"/>
      <c r="G66" s="121" t="inlineStr">
        <is>
          <t>2.5 G4</t>
        </is>
      </c>
      <c r="H66" s="261" t="inlineStr">
        <is>
          <t>D</t>
        </is>
      </c>
      <c r="I66" s="261" t="inlineStr">
        <is>
          <t>M</t>
        </is>
      </c>
      <c r="J66" s="261" t="n">
        <v>2</v>
      </c>
      <c r="K66" s="122" t="n">
        <v>5</v>
      </c>
      <c r="L66" s="121" t="inlineStr">
        <is>
          <t>WHI</t>
        </is>
      </c>
      <c r="M66" s="261" t="n">
        <v>390000</v>
      </c>
      <c r="N66" s="122" t="inlineStr">
        <is>
          <t>MH04ET0678</t>
        </is>
      </c>
      <c r="O66" s="122" t="n">
        <v>678</v>
      </c>
      <c r="P66" s="261" t="inlineStr">
        <is>
          <t>F3</t>
        </is>
      </c>
    </row>
    <row r="67" hidden="1" s="268">
      <c r="A67" s="261" t="n">
        <v>64</v>
      </c>
      <c r="B67" s="258">
        <f>B66+1</f>
        <v/>
      </c>
      <c r="C67" s="121" t="inlineStr">
        <is>
          <t>TOYO</t>
        </is>
      </c>
      <c r="D67" s="122" t="inlineStr">
        <is>
          <t>INNOVA</t>
        </is>
      </c>
      <c r="E67" s="261" t="n">
        <v>2011</v>
      </c>
      <c r="F67" s="261" t="n"/>
      <c r="G67" s="121" t="inlineStr">
        <is>
          <t>G T4</t>
        </is>
      </c>
      <c r="H67" s="261" t="inlineStr">
        <is>
          <t>D</t>
        </is>
      </c>
      <c r="I67" s="261" t="inlineStr">
        <is>
          <t>M</t>
        </is>
      </c>
      <c r="J67" s="261" t="n">
        <v>3</v>
      </c>
      <c r="K67" s="122" t="inlineStr"/>
      <c r="L67" s="121" t="inlineStr">
        <is>
          <t>WHI</t>
        </is>
      </c>
      <c r="M67" s="261" t="n">
        <v>370000</v>
      </c>
      <c r="N67" s="122" t="inlineStr">
        <is>
          <t>MH01AM4476</t>
        </is>
      </c>
      <c r="O67" s="122" t="n">
        <v>4476</v>
      </c>
      <c r="P67" s="261" t="inlineStr">
        <is>
          <t>F1</t>
        </is>
      </c>
    </row>
    <row r="68" hidden="1" s="268">
      <c r="A68" s="258" t="n">
        <v>65</v>
      </c>
      <c r="B68" s="258">
        <f>B67+1</f>
        <v/>
      </c>
      <c r="C68" s="125" t="inlineStr">
        <is>
          <t>TOYO</t>
        </is>
      </c>
      <c r="D68" s="124" t="inlineStr">
        <is>
          <t>INNOVA</t>
        </is>
      </c>
      <c r="E68" s="258" t="n">
        <v>2012</v>
      </c>
      <c r="G68" s="125" t="inlineStr">
        <is>
          <t>2.5 V</t>
        </is>
      </c>
      <c r="H68" s="258" t="inlineStr">
        <is>
          <t>D</t>
        </is>
      </c>
      <c r="I68" s="258" t="inlineStr">
        <is>
          <t>M</t>
        </is>
      </c>
      <c r="J68" s="258" t="n">
        <v>3</v>
      </c>
      <c r="L68" s="125" t="inlineStr">
        <is>
          <t>BLUE</t>
        </is>
      </c>
      <c r="M68" s="258" t="n">
        <v>449000</v>
      </c>
      <c r="N68" s="124" t="inlineStr">
        <is>
          <t>MH02CP4858</t>
        </is>
      </c>
      <c r="O68" s="124" t="n">
        <v>4858</v>
      </c>
      <c r="P68" s="258" t="inlineStr">
        <is>
          <t>P2</t>
        </is>
      </c>
    </row>
    <row r="69" hidden="1" s="268">
      <c r="A69" s="251" t="n">
        <v>66</v>
      </c>
      <c r="B69" s="258">
        <f>B68+1</f>
        <v/>
      </c>
      <c r="C69" s="164" t="inlineStr">
        <is>
          <t>TOYO</t>
        </is>
      </c>
      <c r="D69" s="165" t="inlineStr">
        <is>
          <t>INNOVA</t>
        </is>
      </c>
      <c r="E69" s="251" t="n">
        <v>2012</v>
      </c>
      <c r="F69" s="251" t="n"/>
      <c r="G69" s="164" t="inlineStr">
        <is>
          <t>2.5 T4</t>
        </is>
      </c>
      <c r="H69" s="251" t="inlineStr">
        <is>
          <t>D</t>
        </is>
      </c>
      <c r="I69" s="251" t="inlineStr">
        <is>
          <t>M</t>
        </is>
      </c>
      <c r="J69" s="251" t="n">
        <v>3</v>
      </c>
      <c r="K69" s="165" t="inlineStr">
        <is>
          <t>SN 1.75</t>
        </is>
      </c>
      <c r="L69" s="164" t="inlineStr">
        <is>
          <t>WHI</t>
        </is>
      </c>
      <c r="M69" s="251" t="n">
        <v>495000</v>
      </c>
      <c r="N69" s="165" t="inlineStr">
        <is>
          <t>MH12GZ3321</t>
        </is>
      </c>
      <c r="O69" s="165" t="n">
        <v>3321</v>
      </c>
      <c r="P69" s="251" t="inlineStr">
        <is>
          <t>E3</t>
        </is>
      </c>
    </row>
    <row r="70" hidden="1" s="268">
      <c r="A70" s="261" t="n">
        <v>67</v>
      </c>
      <c r="B70" s="258">
        <f>B69+1</f>
        <v/>
      </c>
      <c r="C70" s="121" t="inlineStr">
        <is>
          <t>TOYO</t>
        </is>
      </c>
      <c r="D70" s="122" t="inlineStr">
        <is>
          <t>INNOVA</t>
        </is>
      </c>
      <c r="E70" s="261" t="n">
        <v>2013</v>
      </c>
      <c r="F70" s="261" t="n"/>
      <c r="G70" s="121" t="inlineStr">
        <is>
          <t>2.5G M</t>
        </is>
      </c>
      <c r="H70" s="261" t="inlineStr">
        <is>
          <t>D</t>
        </is>
      </c>
      <c r="I70" s="261" t="inlineStr">
        <is>
          <t>M</t>
        </is>
      </c>
      <c r="J70" s="261" t="n">
        <v>3</v>
      </c>
      <c r="K70" s="122" t="n"/>
      <c r="L70" s="121" t="inlineStr">
        <is>
          <t>GREY</t>
        </is>
      </c>
      <c r="M70" s="261" t="n">
        <v>489000</v>
      </c>
      <c r="N70" s="122" t="inlineStr">
        <is>
          <t>MH46W9381</t>
        </is>
      </c>
      <c r="O70" s="122" t="n">
        <v>9381</v>
      </c>
      <c r="P70" s="261" t="inlineStr">
        <is>
          <t>E2</t>
        </is>
      </c>
    </row>
    <row r="71" hidden="1" s="268">
      <c r="A71" s="261" t="n">
        <v>68</v>
      </c>
      <c r="B71" s="258">
        <f>B70+1</f>
        <v/>
      </c>
      <c r="C71" s="121" t="inlineStr">
        <is>
          <t>TOYO</t>
        </is>
      </c>
      <c r="D71" s="122" t="inlineStr">
        <is>
          <t>INNOVA</t>
        </is>
      </c>
      <c r="E71" s="261" t="n">
        <v>2014</v>
      </c>
      <c r="F71" s="261" t="n"/>
      <c r="G71" s="121" t="inlineStr">
        <is>
          <t>2.5 GX T4</t>
        </is>
      </c>
      <c r="H71" s="261" t="inlineStr">
        <is>
          <t>D</t>
        </is>
      </c>
      <c r="I71" s="261" t="inlineStr">
        <is>
          <t>M</t>
        </is>
      </c>
      <c r="J71" s="261" t="n">
        <v>1</v>
      </c>
      <c r="K71" s="122" t="n"/>
      <c r="L71" s="121" t="inlineStr">
        <is>
          <t>WHI</t>
        </is>
      </c>
      <c r="M71" s="261" t="n">
        <v>795000</v>
      </c>
      <c r="N71" s="122" t="inlineStr">
        <is>
          <t>MH48S4426</t>
        </is>
      </c>
      <c r="O71" s="122" t="n">
        <v>4426</v>
      </c>
      <c r="P71" s="261" t="inlineStr">
        <is>
          <t>E1</t>
        </is>
      </c>
    </row>
    <row r="72" hidden="1" s="268">
      <c r="A72" s="258" t="n">
        <v>69</v>
      </c>
      <c r="B72" s="258">
        <f>B71+1</f>
        <v/>
      </c>
      <c r="C72" s="125" t="inlineStr">
        <is>
          <t>TOYO</t>
        </is>
      </c>
      <c r="D72" s="124" t="inlineStr">
        <is>
          <t>CRYSTA</t>
        </is>
      </c>
      <c r="E72" s="258" t="n">
        <v>2016</v>
      </c>
      <c r="F72" s="258" t="inlineStr">
        <is>
          <t>AUG</t>
        </is>
      </c>
      <c r="G72" s="125" t="inlineStr">
        <is>
          <t>2.4 G</t>
        </is>
      </c>
      <c r="H72" s="258" t="inlineStr">
        <is>
          <t>D</t>
        </is>
      </c>
      <c r="I72" s="258" t="inlineStr">
        <is>
          <t>M</t>
        </is>
      </c>
      <c r="J72" s="258" t="n">
        <v>2</v>
      </c>
      <c r="L72" s="125" t="inlineStr">
        <is>
          <t>WHITE</t>
        </is>
      </c>
      <c r="M72" s="258" t="n">
        <v>1199000</v>
      </c>
      <c r="N72" s="124" t="inlineStr">
        <is>
          <t>MH04HN2001</t>
        </is>
      </c>
      <c r="O72" s="124" t="n">
        <v>2001</v>
      </c>
      <c r="P72" s="258" t="inlineStr">
        <is>
          <t>WEST</t>
        </is>
      </c>
    </row>
    <row r="73" hidden="1" s="268">
      <c r="A73" s="261" t="n">
        <v>70</v>
      </c>
      <c r="B73" s="258">
        <f>B72+1</f>
        <v/>
      </c>
      <c r="C73" s="121" t="inlineStr">
        <is>
          <t>TOYO</t>
        </is>
      </c>
      <c r="D73" s="122" t="inlineStr">
        <is>
          <t>FORTUNER</t>
        </is>
      </c>
      <c r="E73" s="261" t="inlineStr">
        <is>
          <t>2009/31</t>
        </is>
      </c>
      <c r="F73" s="261" t="n"/>
      <c r="G73" s="121" t="inlineStr">
        <is>
          <t>3.0L4</t>
        </is>
      </c>
      <c r="H73" s="261" t="inlineStr">
        <is>
          <t>D</t>
        </is>
      </c>
      <c r="I73" s="261" t="inlineStr">
        <is>
          <t>M</t>
        </is>
      </c>
      <c r="J73" s="261" t="n">
        <v>2</v>
      </c>
      <c r="K73" s="122" t="n"/>
      <c r="L73" s="121" t="inlineStr">
        <is>
          <t>WHI</t>
        </is>
      </c>
      <c r="M73" s="261" t="n">
        <v>599000</v>
      </c>
      <c r="N73" s="122" t="inlineStr">
        <is>
          <t>MH04DY9819</t>
        </is>
      </c>
      <c r="O73" s="122" t="n">
        <v>9819</v>
      </c>
      <c r="P73" s="261" t="n"/>
    </row>
    <row r="74" hidden="1" s="268">
      <c r="A74" s="258" t="n">
        <v>182</v>
      </c>
      <c r="B74" s="258">
        <f>B73+1</f>
        <v/>
      </c>
      <c r="C74" s="121" t="inlineStr">
        <is>
          <t>TATA</t>
        </is>
      </c>
      <c r="D74" s="122" t="inlineStr">
        <is>
          <t>MANZA</t>
        </is>
      </c>
      <c r="E74" s="261" t="n">
        <v>2011</v>
      </c>
      <c r="F74" s="261" t="n"/>
      <c r="G74" s="121" t="inlineStr">
        <is>
          <t>BS4</t>
        </is>
      </c>
      <c r="H74" s="261" t="inlineStr">
        <is>
          <t>D</t>
        </is>
      </c>
      <c r="I74" s="261" t="inlineStr">
        <is>
          <t>M</t>
        </is>
      </c>
      <c r="J74" s="261" t="n">
        <v>1</v>
      </c>
      <c r="K74" s="122" t="n">
        <v>148000</v>
      </c>
      <c r="L74" s="121" t="inlineStr">
        <is>
          <t>WHI</t>
        </is>
      </c>
      <c r="M74" s="261" t="n">
        <v>33</v>
      </c>
      <c r="N74" s="122" t="inlineStr">
        <is>
          <t>MH04ET1524</t>
        </is>
      </c>
      <c r="O74" s="122" t="n">
        <v>1524</v>
      </c>
      <c r="P74" s="261" t="inlineStr">
        <is>
          <t>ILL</t>
        </is>
      </c>
    </row>
    <row r="75" hidden="1" s="268">
      <c r="A75" s="258" t="n">
        <v>72</v>
      </c>
      <c r="B75" s="258">
        <f>B74+1</f>
        <v/>
      </c>
      <c r="C75" s="125" t="inlineStr">
        <is>
          <t>TOYO</t>
        </is>
      </c>
      <c r="D75" s="124" t="inlineStr">
        <is>
          <t>FORTUNER</t>
        </is>
      </c>
      <c r="E75" s="258" t="n">
        <v>2012</v>
      </c>
      <c r="G75" s="125" t="inlineStr">
        <is>
          <t>3.0 MT</t>
        </is>
      </c>
      <c r="H75" s="258" t="inlineStr">
        <is>
          <t>D</t>
        </is>
      </c>
      <c r="I75" s="258" t="inlineStr">
        <is>
          <t>M</t>
        </is>
      </c>
      <c r="J75" s="258" t="n">
        <v>1</v>
      </c>
      <c r="L75" s="125" t="inlineStr">
        <is>
          <t>WHI</t>
        </is>
      </c>
      <c r="M75" s="258" t="n">
        <v>849000</v>
      </c>
      <c r="N75" s="124" t="inlineStr">
        <is>
          <t>MH46W4468</t>
        </is>
      </c>
      <c r="O75" s="124" t="n">
        <v>4468</v>
      </c>
    </row>
    <row r="76" hidden="1" s="268">
      <c r="A76" s="258" t="n">
        <v>73</v>
      </c>
      <c r="B76" s="258">
        <f>B75+1</f>
        <v/>
      </c>
      <c r="C76" s="125" t="inlineStr">
        <is>
          <t>SKODA</t>
        </is>
      </c>
      <c r="D76" s="124" t="inlineStr">
        <is>
          <t>KODIAQ</t>
        </is>
      </c>
      <c r="E76" s="258" t="n">
        <v>2018</v>
      </c>
      <c r="G76" s="125" t="inlineStr">
        <is>
          <t>STYLE</t>
        </is>
      </c>
      <c r="H76" s="258" t="inlineStr">
        <is>
          <t>D</t>
        </is>
      </c>
      <c r="I76" s="258" t="inlineStr">
        <is>
          <t>A</t>
        </is>
      </c>
      <c r="J76" s="258" t="n">
        <v>2</v>
      </c>
      <c r="L76" s="125" t="inlineStr">
        <is>
          <t>WHITE</t>
        </is>
      </c>
      <c r="M76" s="258" t="n">
        <v>1599000</v>
      </c>
      <c r="N76" s="124" t="inlineStr">
        <is>
          <t>MH02EU5588</t>
        </is>
      </c>
      <c r="O76" s="124" t="n">
        <v>5588</v>
      </c>
      <c r="P76" s="258" t="inlineStr">
        <is>
          <t>Y4</t>
        </is>
      </c>
    </row>
    <row r="77" hidden="1" customFormat="1" s="252">
      <c r="A77" s="258" t="n">
        <v>74</v>
      </c>
      <c r="B77" s="258">
        <f>B76+1</f>
        <v/>
      </c>
      <c r="C77" s="125" t="inlineStr">
        <is>
          <t>JAGUAR</t>
        </is>
      </c>
      <c r="D77" s="124" t="inlineStr">
        <is>
          <t>DISCOVERY</t>
        </is>
      </c>
      <c r="E77" s="258" t="n">
        <v>2016</v>
      </c>
      <c r="F77" s="258" t="n"/>
      <c r="G77" s="125" t="inlineStr">
        <is>
          <t>SPORT 2.2</t>
        </is>
      </c>
      <c r="H77" s="258" t="inlineStr">
        <is>
          <t>D</t>
        </is>
      </c>
      <c r="I77" s="258" t="inlineStr">
        <is>
          <t>A</t>
        </is>
      </c>
      <c r="J77" s="258" t="n">
        <v>3</v>
      </c>
      <c r="K77" s="124" t="n"/>
      <c r="L77" s="125" t="inlineStr">
        <is>
          <t>BLUE</t>
        </is>
      </c>
      <c r="M77" s="258" t="n">
        <v>1299000</v>
      </c>
      <c r="N77" s="124" t="inlineStr">
        <is>
          <t>MH01CD7833</t>
        </is>
      </c>
      <c r="O77" s="124" t="n">
        <v>7833</v>
      </c>
      <c r="P77" s="258" t="inlineStr">
        <is>
          <t>B2</t>
        </is>
      </c>
    </row>
    <row r="78" hidden="1" s="268">
      <c r="A78" s="258" t="n">
        <v>75</v>
      </c>
      <c r="B78" s="258">
        <f>B77+1</f>
        <v/>
      </c>
      <c r="C78" s="125" t="inlineStr">
        <is>
          <t>MERC</t>
        </is>
      </c>
      <c r="D78" s="124" t="inlineStr">
        <is>
          <t>BENZ</t>
        </is>
      </c>
      <c r="E78" s="258" t="n">
        <v>2012</v>
      </c>
      <c r="G78" s="125" t="inlineStr">
        <is>
          <t>CDI</t>
        </is>
      </c>
      <c r="H78" s="258" t="inlineStr">
        <is>
          <t>D</t>
        </is>
      </c>
      <c r="I78" s="258" t="inlineStr">
        <is>
          <t>A</t>
        </is>
      </c>
      <c r="J78" s="258" t="n">
        <v>3</v>
      </c>
      <c r="L78" s="124" t="inlineStr">
        <is>
          <t>WHI</t>
        </is>
      </c>
      <c r="M78" s="258" t="n">
        <v>599000</v>
      </c>
      <c r="N78" s="124" t="inlineStr">
        <is>
          <t>MH01BB9171</t>
        </is>
      </c>
      <c r="O78" s="124" t="n">
        <v>9171</v>
      </c>
      <c r="P78" s="258" t="inlineStr">
        <is>
          <t>Y4</t>
        </is>
      </c>
    </row>
    <row r="79">
      <c r="A79" s="258" t="n">
        <v>189</v>
      </c>
      <c r="B79" s="258">
        <f>B78+1</f>
        <v/>
      </c>
      <c r="C79" s="121" t="inlineStr">
        <is>
          <t>VOX</t>
        </is>
      </c>
      <c r="D79" s="122" t="inlineStr">
        <is>
          <t>POLO</t>
        </is>
      </c>
      <c r="E79" s="261" t="n">
        <v>2019</v>
      </c>
      <c r="F79" s="261" t="n"/>
      <c r="G79" s="121" t="inlineStr">
        <is>
          <t>MPI56KW</t>
        </is>
      </c>
      <c r="H79" s="261" t="inlineStr">
        <is>
          <t>P</t>
        </is>
      </c>
      <c r="I79" s="261" t="inlineStr">
        <is>
          <t>M</t>
        </is>
      </c>
      <c r="J79" s="261" t="n">
        <v>3</v>
      </c>
      <c r="K79" s="122" t="n">
        <v>45000</v>
      </c>
      <c r="L79" s="121" t="inlineStr">
        <is>
          <t>WHI</t>
        </is>
      </c>
      <c r="M79" s="261" t="n">
        <v>379000</v>
      </c>
      <c r="N79" s="122" t="inlineStr">
        <is>
          <t>MH02FE6048</t>
        </is>
      </c>
      <c r="O79" s="122" t="n">
        <v>6048</v>
      </c>
      <c r="P79" s="261" t="inlineStr">
        <is>
          <t>S4</t>
        </is>
      </c>
    </row>
    <row r="80">
      <c r="A80" s="258" t="n">
        <v>25</v>
      </c>
      <c r="B80" s="258">
        <f>B79+1</f>
        <v/>
      </c>
      <c r="C80" s="125" t="inlineStr">
        <is>
          <t>KIA</t>
        </is>
      </c>
      <c r="D80" s="124" t="inlineStr">
        <is>
          <t>SONET</t>
        </is>
      </c>
      <c r="E80" s="258" t="n">
        <v>2021</v>
      </c>
      <c r="G80" s="125" t="inlineStr">
        <is>
          <t>G 1.25 HYL +</t>
        </is>
      </c>
      <c r="H80" s="258" t="inlineStr">
        <is>
          <t>P</t>
        </is>
      </c>
      <c r="I80" s="258" t="inlineStr">
        <is>
          <t>M</t>
        </is>
      </c>
      <c r="J80" s="258" t="n">
        <v>1</v>
      </c>
      <c r="K80" s="124" t="n">
        <v>39989</v>
      </c>
      <c r="L80" s="125" t="inlineStr">
        <is>
          <t>BLACK</t>
        </is>
      </c>
      <c r="M80" s="258" t="n">
        <v>699000</v>
      </c>
      <c r="N80" s="124" t="inlineStr">
        <is>
          <t>MH14TK1431</t>
        </is>
      </c>
      <c r="O80" s="124" t="n">
        <v>1431</v>
      </c>
      <c r="P80" s="258" t="inlineStr">
        <is>
          <t>K3</t>
        </is>
      </c>
    </row>
    <row r="81">
      <c r="A81" s="258" t="n">
        <v>42</v>
      </c>
      <c r="B81" s="258">
        <f>B80+1</f>
        <v/>
      </c>
      <c r="C81" s="125" t="inlineStr">
        <is>
          <t xml:space="preserve">MARU </t>
        </is>
      </c>
      <c r="D81" s="124" t="inlineStr">
        <is>
          <t>ERTIGA</t>
        </is>
      </c>
      <c r="E81" s="258" t="n">
        <v>2016</v>
      </c>
      <c r="G81" s="125" t="inlineStr">
        <is>
          <t>VXI</t>
        </is>
      </c>
      <c r="H81" s="258" t="inlineStr">
        <is>
          <t>P</t>
        </is>
      </c>
      <c r="I81" s="258" t="inlineStr">
        <is>
          <t>M</t>
        </is>
      </c>
      <c r="J81" s="258" t="n">
        <v>2</v>
      </c>
      <c r="K81" s="124" t="n">
        <v>39000</v>
      </c>
      <c r="L81" s="125" t="inlineStr">
        <is>
          <t xml:space="preserve">BLUE </t>
        </is>
      </c>
      <c r="M81" s="258" t="n">
        <v>529000</v>
      </c>
      <c r="N81" s="124" t="inlineStr">
        <is>
          <t>MH04HF6648</t>
        </is>
      </c>
      <c r="O81" s="124" t="n">
        <v>6648</v>
      </c>
      <c r="P81" s="258" t="inlineStr">
        <is>
          <t>IMM</t>
        </is>
      </c>
    </row>
    <row r="82">
      <c r="A82" s="258" t="n">
        <v>160</v>
      </c>
      <c r="B82" s="258">
        <f>B81+1</f>
        <v/>
      </c>
      <c r="C82" s="125" t="inlineStr">
        <is>
          <t>HYUN</t>
        </is>
      </c>
      <c r="D82" s="124" t="inlineStr">
        <is>
          <t>I 10 GRAND</t>
        </is>
      </c>
      <c r="E82" s="258" t="n">
        <v>2017</v>
      </c>
      <c r="G82" s="125" t="inlineStr">
        <is>
          <t>MAGNA</t>
        </is>
      </c>
      <c r="H82" s="258" t="inlineStr">
        <is>
          <t>P</t>
        </is>
      </c>
      <c r="I82" s="258" t="inlineStr">
        <is>
          <t>M</t>
        </is>
      </c>
      <c r="J82" s="258" t="n">
        <v>2</v>
      </c>
      <c r="K82" s="124" t="n">
        <v>32706</v>
      </c>
      <c r="L82" s="125" t="inlineStr">
        <is>
          <t>RED</t>
        </is>
      </c>
      <c r="M82" s="258" t="n">
        <v>365000</v>
      </c>
      <c r="N82" s="124" t="inlineStr">
        <is>
          <t>MH47W5797</t>
        </is>
      </c>
      <c r="O82" s="124" t="n">
        <v>5797</v>
      </c>
      <c r="P82" s="258" t="inlineStr">
        <is>
          <t>N1</t>
        </is>
      </c>
    </row>
    <row r="83" hidden="1" s="268">
      <c r="A83" s="258" t="n">
        <v>80</v>
      </c>
      <c r="B83" s="258">
        <f>B82+1</f>
        <v/>
      </c>
      <c r="C83" s="121" t="inlineStr">
        <is>
          <t>MERC</t>
        </is>
      </c>
      <c r="D83" s="122" t="inlineStr">
        <is>
          <t>B 180</t>
        </is>
      </c>
      <c r="E83" s="261" t="n">
        <v>2013</v>
      </c>
      <c r="F83" s="261" t="n"/>
      <c r="G83" s="121" t="inlineStr">
        <is>
          <t>B180</t>
        </is>
      </c>
      <c r="H83" s="261" t="inlineStr">
        <is>
          <t>D</t>
        </is>
      </c>
      <c r="I83" s="261" t="inlineStr">
        <is>
          <t>A</t>
        </is>
      </c>
      <c r="J83" s="261" t="n">
        <v>3</v>
      </c>
      <c r="K83" s="122" t="n"/>
      <c r="L83" s="121" t="inlineStr">
        <is>
          <t>GREY</t>
        </is>
      </c>
      <c r="M83" s="261" t="n">
        <v>599000</v>
      </c>
      <c r="N83" s="122" t="inlineStr">
        <is>
          <t>MH46X4200</t>
        </is>
      </c>
      <c r="O83" s="122" t="n">
        <v>4200</v>
      </c>
      <c r="P83" s="261" t="inlineStr">
        <is>
          <t>K1</t>
        </is>
      </c>
    </row>
    <row r="84" hidden="1" customFormat="1" s="127">
      <c r="A84" s="258" t="n">
        <v>81</v>
      </c>
      <c r="B84" s="258">
        <f>B83+1</f>
        <v/>
      </c>
      <c r="C84" s="125" t="inlineStr">
        <is>
          <t>MERC</t>
        </is>
      </c>
      <c r="D84" s="124" t="inlineStr">
        <is>
          <t>B 180</t>
        </is>
      </c>
      <c r="E84" s="258" t="n">
        <v>2015</v>
      </c>
      <c r="F84" s="258" t="n"/>
      <c r="G84" s="125" t="inlineStr">
        <is>
          <t>B 180</t>
        </is>
      </c>
      <c r="H84" s="258" t="inlineStr">
        <is>
          <t>D</t>
        </is>
      </c>
      <c r="I84" s="258" t="inlineStr">
        <is>
          <t>A</t>
        </is>
      </c>
      <c r="J84" s="258" t="n">
        <v>2</v>
      </c>
      <c r="K84" s="124" t="n"/>
      <c r="L84" s="125" t="inlineStr">
        <is>
          <t>WHITE</t>
        </is>
      </c>
      <c r="M84" s="258" t="n">
        <v>699000</v>
      </c>
      <c r="N84" s="124" t="inlineStr">
        <is>
          <t>MH43AT0820</t>
        </is>
      </c>
      <c r="O84" s="124" t="n">
        <v>820</v>
      </c>
      <c r="P84" s="258" t="inlineStr">
        <is>
          <t>B3</t>
        </is>
      </c>
    </row>
    <row r="85" hidden="1" s="268">
      <c r="A85" s="258" t="n">
        <v>82</v>
      </c>
      <c r="B85" s="258">
        <f>B84+1</f>
        <v/>
      </c>
      <c r="C85" s="125" t="inlineStr">
        <is>
          <t>MERC</t>
        </is>
      </c>
      <c r="D85" s="124" t="inlineStr">
        <is>
          <t>E CLASS</t>
        </is>
      </c>
      <c r="E85" s="258" t="n">
        <v>0</v>
      </c>
      <c r="G85" s="125" t="inlineStr">
        <is>
          <t>E 200</t>
        </is>
      </c>
      <c r="H85" s="258" t="inlineStr">
        <is>
          <t>P</t>
        </is>
      </c>
      <c r="I85" s="258" t="inlineStr">
        <is>
          <t>A</t>
        </is>
      </c>
      <c r="J85" s="258" t="n">
        <v>1</v>
      </c>
      <c r="L85" s="125" t="inlineStr">
        <is>
          <t>BRO</t>
        </is>
      </c>
      <c r="M85" s="258" t="n">
        <v>799000</v>
      </c>
      <c r="N85" s="124" t="inlineStr">
        <is>
          <t>MH01BK9444</t>
        </is>
      </c>
      <c r="O85" s="124" t="n">
        <v>9444</v>
      </c>
      <c r="P85" s="258" t="inlineStr">
        <is>
          <t>A3</t>
        </is>
      </c>
    </row>
    <row r="86" hidden="1" s="268">
      <c r="A86" s="258" t="n">
        <v>83</v>
      </c>
      <c r="B86" s="258">
        <f>B85+1</f>
        <v/>
      </c>
      <c r="C86" s="125" t="inlineStr">
        <is>
          <t>BMW</t>
        </is>
      </c>
      <c r="D86" s="124" t="inlineStr">
        <is>
          <t>X1</t>
        </is>
      </c>
      <c r="E86" s="258" t="n">
        <v>2011</v>
      </c>
      <c r="G86" s="125" t="inlineStr">
        <is>
          <t>SDRIVE 20D</t>
        </is>
      </c>
      <c r="H86" s="258" t="inlineStr">
        <is>
          <t>D</t>
        </is>
      </c>
      <c r="I86" s="258" t="inlineStr">
        <is>
          <t>A</t>
        </is>
      </c>
      <c r="J86" s="258" t="n">
        <v>2</v>
      </c>
      <c r="L86" s="125" t="inlineStr">
        <is>
          <t>BLU</t>
        </is>
      </c>
      <c r="M86" s="258" t="n">
        <v>325000</v>
      </c>
      <c r="N86" s="124" t="inlineStr">
        <is>
          <t>MH02CH1010</t>
        </is>
      </c>
      <c r="O86" s="124" t="n">
        <v>1010</v>
      </c>
      <c r="P86" s="258" t="inlineStr">
        <is>
          <t>POLI</t>
        </is>
      </c>
    </row>
    <row r="87" hidden="1" s="268">
      <c r="A87" s="258" t="n">
        <v>162</v>
      </c>
      <c r="B87" s="258">
        <f>B86+1</f>
        <v/>
      </c>
      <c r="C87" s="125" t="inlineStr">
        <is>
          <t>HYUN</t>
        </is>
      </c>
      <c r="D87" s="124" t="inlineStr">
        <is>
          <t>I 20</t>
        </is>
      </c>
      <c r="E87" s="258" t="n">
        <v>2010</v>
      </c>
      <c r="H87" s="258" t="inlineStr">
        <is>
          <t>PC</t>
        </is>
      </c>
      <c r="I87" s="258" t="inlineStr">
        <is>
          <t>M</t>
        </is>
      </c>
      <c r="J87" s="258" t="n">
        <v>4</v>
      </c>
      <c r="K87" s="124" t="n">
        <v>169500</v>
      </c>
      <c r="L87" s="125" t="inlineStr">
        <is>
          <t>WHI</t>
        </is>
      </c>
      <c r="M87" s="258" t="n">
        <v>33</v>
      </c>
      <c r="N87" s="124" t="inlineStr">
        <is>
          <t>MH04EK2121</t>
        </is>
      </c>
      <c r="O87" s="124" t="n">
        <v>2121</v>
      </c>
      <c r="P87" s="258" t="inlineStr">
        <is>
          <t>Y5</t>
        </is>
      </c>
    </row>
    <row r="88" hidden="1" s="268">
      <c r="A88" s="262" t="n">
        <v>85</v>
      </c>
      <c r="B88" s="258">
        <f>B87+1</f>
        <v/>
      </c>
      <c r="C88" s="263" t="inlineStr">
        <is>
          <t>BMW</t>
        </is>
      </c>
      <c r="D88" s="264" t="inlineStr">
        <is>
          <t>320 D</t>
        </is>
      </c>
      <c r="E88" s="262" t="n">
        <v>2011</v>
      </c>
      <c r="F88" s="262" t="n"/>
      <c r="G88" s="263" t="inlineStr">
        <is>
          <t>320 D</t>
        </is>
      </c>
      <c r="H88" s="262" t="inlineStr">
        <is>
          <t>D</t>
        </is>
      </c>
      <c r="I88" s="262" t="inlineStr">
        <is>
          <t>A</t>
        </is>
      </c>
      <c r="J88" s="262" t="n">
        <v>3</v>
      </c>
      <c r="K88" s="264" t="n"/>
      <c r="L88" s="263" t="inlineStr">
        <is>
          <t>BLUE</t>
        </is>
      </c>
      <c r="M88" s="262" t="n">
        <v>469000</v>
      </c>
      <c r="N88" s="264" t="inlineStr">
        <is>
          <t>MH02BR9496</t>
        </is>
      </c>
      <c r="O88" s="264" t="n">
        <v>9496</v>
      </c>
      <c r="P88" s="262" t="inlineStr">
        <is>
          <t xml:space="preserve">POLISH </t>
        </is>
      </c>
    </row>
    <row r="89" hidden="1" s="268">
      <c r="A89" s="258" t="n">
        <v>86</v>
      </c>
      <c r="B89" s="258">
        <f>B88+1</f>
        <v/>
      </c>
      <c r="C89" s="125" t="inlineStr">
        <is>
          <t>BMW</t>
        </is>
      </c>
      <c r="D89" s="124" t="inlineStr">
        <is>
          <t>320 D</t>
        </is>
      </c>
      <c r="E89" s="258" t="inlineStr">
        <is>
          <t>2012/04</t>
        </is>
      </c>
      <c r="G89" s="125" t="inlineStr">
        <is>
          <t>320 D</t>
        </is>
      </c>
      <c r="H89" s="258" t="inlineStr">
        <is>
          <t>D</t>
        </is>
      </c>
      <c r="I89" s="258" t="inlineStr">
        <is>
          <t>A</t>
        </is>
      </c>
      <c r="J89" s="258" t="n">
        <v>2</v>
      </c>
      <c r="L89" s="125" t="inlineStr">
        <is>
          <t>BLACK</t>
        </is>
      </c>
      <c r="M89" s="258" t="n">
        <v>499000</v>
      </c>
      <c r="N89" s="124" t="inlineStr">
        <is>
          <t>MH02CL1846</t>
        </is>
      </c>
      <c r="O89" s="124" t="n">
        <v>1846</v>
      </c>
      <c r="P89" s="258" t="inlineStr">
        <is>
          <t>X3</t>
        </is>
      </c>
    </row>
    <row r="90" hidden="1" s="268">
      <c r="A90" s="258" t="n">
        <v>87</v>
      </c>
      <c r="B90" s="258">
        <f>B89+1</f>
        <v/>
      </c>
      <c r="C90" s="125" t="inlineStr">
        <is>
          <t>BMW</t>
        </is>
      </c>
      <c r="D90" s="124" t="inlineStr">
        <is>
          <t>320 D</t>
        </is>
      </c>
      <c r="E90" s="258" t="n">
        <v>2013</v>
      </c>
      <c r="G90" s="125" t="inlineStr">
        <is>
          <t>320 D</t>
        </is>
      </c>
      <c r="H90" s="258" t="inlineStr">
        <is>
          <t>D</t>
        </is>
      </c>
      <c r="I90" s="258" t="inlineStr">
        <is>
          <t>A</t>
        </is>
      </c>
      <c r="J90" s="258" t="n">
        <v>4</v>
      </c>
      <c r="L90" s="125" t="inlineStr">
        <is>
          <t>GREY</t>
        </is>
      </c>
      <c r="M90" s="258" t="n">
        <v>629000</v>
      </c>
      <c r="N90" s="124" t="inlineStr">
        <is>
          <t>MH14DT8310</t>
        </is>
      </c>
      <c r="O90" s="124" t="n">
        <v>8310</v>
      </c>
      <c r="P90" s="258" t="inlineStr">
        <is>
          <t>X1</t>
        </is>
      </c>
    </row>
    <row r="91" hidden="1" s="268">
      <c r="A91" s="258" t="n">
        <v>88</v>
      </c>
      <c r="B91" s="258">
        <f>B90+1</f>
        <v/>
      </c>
      <c r="C91" s="125" t="inlineStr">
        <is>
          <t>VOLV</t>
        </is>
      </c>
      <c r="D91" s="124" t="inlineStr">
        <is>
          <t>V 40</t>
        </is>
      </c>
      <c r="E91" s="258" t="n">
        <v>2016</v>
      </c>
      <c r="F91" s="258" t="inlineStr">
        <is>
          <t>EXP</t>
        </is>
      </c>
      <c r="G91" s="125" t="inlineStr">
        <is>
          <t>CROSS COUNTRY</t>
        </is>
      </c>
      <c r="H91" s="258" t="inlineStr">
        <is>
          <t>D</t>
        </is>
      </c>
      <c r="I91" s="258" t="inlineStr">
        <is>
          <t>A</t>
        </is>
      </c>
      <c r="J91" s="258" t="n">
        <v>2</v>
      </c>
      <c r="L91" s="125" t="inlineStr">
        <is>
          <t>WHITE</t>
        </is>
      </c>
      <c r="M91" s="258" t="n">
        <v>799000</v>
      </c>
      <c r="N91" s="124" t="inlineStr">
        <is>
          <t>MH04HK5002</t>
        </is>
      </c>
      <c r="O91" s="124" t="n">
        <v>5002</v>
      </c>
      <c r="P91" s="258" t="inlineStr">
        <is>
          <t>A1</t>
        </is>
      </c>
    </row>
    <row r="92" hidden="1" s="268">
      <c r="A92" s="258" t="n">
        <v>89</v>
      </c>
      <c r="B92" s="258">
        <f>B91+1</f>
        <v/>
      </c>
      <c r="C92" s="121" t="inlineStr">
        <is>
          <t>FORD</t>
        </is>
      </c>
      <c r="D92" s="122" t="inlineStr">
        <is>
          <t>FIGO</t>
        </is>
      </c>
      <c r="E92" s="261" t="n">
        <v>2010</v>
      </c>
      <c r="F92" s="261" t="n"/>
      <c r="G92" s="121" t="inlineStr">
        <is>
          <t>1.2 ZXI</t>
        </is>
      </c>
      <c r="H92" s="261" t="inlineStr">
        <is>
          <t>P</t>
        </is>
      </c>
      <c r="I92" s="261" t="inlineStr">
        <is>
          <t>M</t>
        </is>
      </c>
      <c r="J92" s="261" t="n">
        <v>3</v>
      </c>
      <c r="K92" s="122" t="n"/>
      <c r="L92" s="121" t="inlineStr">
        <is>
          <t>SIL</t>
        </is>
      </c>
      <c r="M92" s="261" t="n">
        <v>90000</v>
      </c>
      <c r="N92" s="122" t="inlineStr">
        <is>
          <t>MH01AV2921</t>
        </is>
      </c>
      <c r="O92" s="122" t="n">
        <v>2921</v>
      </c>
      <c r="P92" s="261" t="inlineStr">
        <is>
          <t>Y5</t>
        </is>
      </c>
    </row>
    <row r="93">
      <c r="A93" s="258" t="n">
        <v>181</v>
      </c>
      <c r="B93" s="258">
        <f>B92+1</f>
        <v/>
      </c>
      <c r="C93" s="125" t="inlineStr">
        <is>
          <t>SHEV</t>
        </is>
      </c>
      <c r="D93" s="124" t="inlineStr">
        <is>
          <t>SPARK</t>
        </is>
      </c>
      <c r="E93" s="258" t="n">
        <v>2011</v>
      </c>
      <c r="G93" s="125" t="inlineStr">
        <is>
          <t>LT BS 4</t>
        </is>
      </c>
      <c r="H93" s="258" t="inlineStr">
        <is>
          <t>P</t>
        </is>
      </c>
      <c r="I93" s="258" t="inlineStr">
        <is>
          <t>M</t>
        </is>
      </c>
      <c r="J93" s="258" t="n">
        <v>3</v>
      </c>
      <c r="K93" s="124" t="n">
        <v>27460</v>
      </c>
      <c r="L93" s="125" t="inlineStr">
        <is>
          <t>RED</t>
        </is>
      </c>
      <c r="M93" s="258" t="n">
        <v>89000</v>
      </c>
      <c r="N93" s="124" t="inlineStr">
        <is>
          <t>MH43AJ5345</t>
        </is>
      </c>
      <c r="O93" s="124" t="n">
        <v>5345</v>
      </c>
      <c r="P93" s="258" t="inlineStr">
        <is>
          <t>Y5</t>
        </is>
      </c>
    </row>
    <row r="94" hidden="1" s="268">
      <c r="A94" s="258" t="n">
        <v>91</v>
      </c>
      <c r="B94" s="258">
        <f>B93+1</f>
        <v/>
      </c>
      <c r="C94" s="121" t="inlineStr">
        <is>
          <t>HOND</t>
        </is>
      </c>
      <c r="D94" s="122" t="inlineStr">
        <is>
          <t>AMAZE</t>
        </is>
      </c>
      <c r="E94" s="261" t="n">
        <v>2013</v>
      </c>
      <c r="F94" s="261" t="n"/>
      <c r="G94" s="121" t="inlineStr">
        <is>
          <t>1.2 EMT</t>
        </is>
      </c>
      <c r="H94" s="261" t="inlineStr">
        <is>
          <t>CR</t>
        </is>
      </c>
      <c r="I94" s="261" t="inlineStr">
        <is>
          <t>M</t>
        </is>
      </c>
      <c r="J94" s="261" t="n">
        <v>3</v>
      </c>
      <c r="K94" s="122" t="inlineStr"/>
      <c r="L94" s="121" t="inlineStr">
        <is>
          <t>SIL</t>
        </is>
      </c>
      <c r="M94" s="261" t="n">
        <v>199000</v>
      </c>
      <c r="N94" s="122" t="inlineStr">
        <is>
          <t>MH04FZ9975</t>
        </is>
      </c>
      <c r="O94" s="122" t="n">
        <v>9975</v>
      </c>
      <c r="P94" s="261" t="inlineStr">
        <is>
          <t>L93</t>
        </is>
      </c>
    </row>
    <row r="95" hidden="1" s="268">
      <c r="A95" s="258" t="n">
        <v>92</v>
      </c>
      <c r="B95" s="258">
        <f>B94+1</f>
        <v/>
      </c>
      <c r="C95" s="125" t="inlineStr">
        <is>
          <t>HONDA</t>
        </is>
      </c>
      <c r="D95" s="124" t="inlineStr">
        <is>
          <t>AMAZE</t>
        </is>
      </c>
      <c r="E95" s="258" t="n">
        <v>2013</v>
      </c>
      <c r="H95" s="258" t="inlineStr">
        <is>
          <t>D</t>
        </is>
      </c>
      <c r="I95" s="258" t="inlineStr">
        <is>
          <t>M</t>
        </is>
      </c>
      <c r="J95" s="258" t="n">
        <v>3</v>
      </c>
      <c r="L95" s="125" t="inlineStr">
        <is>
          <t>RED</t>
        </is>
      </c>
      <c r="M95" s="258" t="n">
        <v>249000</v>
      </c>
      <c r="N95" s="124" t="inlineStr">
        <is>
          <t>MH02DG5438</t>
        </is>
      </c>
      <c r="O95" s="124" t="n">
        <v>5438</v>
      </c>
      <c r="P95" s="258" t="inlineStr">
        <is>
          <t>T9</t>
        </is>
      </c>
    </row>
    <row r="96">
      <c r="A96" s="261" t="n">
        <v>49</v>
      </c>
      <c r="B96" s="258">
        <f>B95+1</f>
        <v/>
      </c>
      <c r="C96" s="121" t="inlineStr">
        <is>
          <t>MG</t>
        </is>
      </c>
      <c r="D96" s="122" t="inlineStr">
        <is>
          <t>ASTOR</t>
        </is>
      </c>
      <c r="E96" s="261" t="n">
        <v>2022</v>
      </c>
      <c r="F96" s="261" t="n"/>
      <c r="G96" s="121" t="inlineStr">
        <is>
          <t>SUPER 1.5</t>
        </is>
      </c>
      <c r="H96" s="261" t="inlineStr">
        <is>
          <t>P</t>
        </is>
      </c>
      <c r="I96" s="261" t="inlineStr">
        <is>
          <t>M</t>
        </is>
      </c>
      <c r="J96" s="261" t="n">
        <v>2</v>
      </c>
      <c r="K96" s="122" t="n">
        <v>20000</v>
      </c>
      <c r="L96" s="121" t="inlineStr">
        <is>
          <t>BLA</t>
        </is>
      </c>
      <c r="M96" s="261" t="n">
        <v>745000</v>
      </c>
      <c r="N96" s="122" t="inlineStr">
        <is>
          <t>MH05EV6687</t>
        </is>
      </c>
      <c r="O96" s="122" t="n">
        <v>6687</v>
      </c>
      <c r="P96" s="261" t="inlineStr">
        <is>
          <t>K2</t>
        </is>
      </c>
    </row>
    <row r="97" hidden="1" s="268">
      <c r="A97" s="258" t="n">
        <v>94</v>
      </c>
      <c r="B97" s="258">
        <f>B96+1</f>
        <v/>
      </c>
      <c r="C97" s="125" t="inlineStr">
        <is>
          <t>HOND</t>
        </is>
      </c>
      <c r="D97" s="124" t="inlineStr">
        <is>
          <t>CIVIC</t>
        </is>
      </c>
      <c r="E97" s="258" t="n">
        <v>2009</v>
      </c>
      <c r="G97" s="125" t="inlineStr">
        <is>
          <t>1.5 V</t>
        </is>
      </c>
      <c r="H97" s="258" t="inlineStr">
        <is>
          <t>P</t>
        </is>
      </c>
      <c r="I97" s="258" t="inlineStr">
        <is>
          <t>A</t>
        </is>
      </c>
      <c r="J97" s="258" t="n">
        <v>4</v>
      </c>
      <c r="L97" s="125" t="inlineStr">
        <is>
          <t>GREY</t>
        </is>
      </c>
      <c r="M97" s="258" t="n">
        <v>179000</v>
      </c>
      <c r="N97" s="124" t="inlineStr">
        <is>
          <t>MH01AL4153</t>
        </is>
      </c>
      <c r="O97" s="124" t="n">
        <v>4153</v>
      </c>
      <c r="P97" s="258" t="inlineStr">
        <is>
          <t>L95</t>
        </is>
      </c>
    </row>
    <row r="98" hidden="1" s="268">
      <c r="A98" s="258" t="n">
        <v>16</v>
      </c>
      <c r="B98" s="258">
        <f>B97+1</f>
        <v/>
      </c>
      <c r="C98" s="125" t="inlineStr">
        <is>
          <t>HOND</t>
        </is>
      </c>
      <c r="D98" s="124" t="inlineStr">
        <is>
          <t>CRV</t>
        </is>
      </c>
      <c r="E98" s="258" t="inlineStr">
        <is>
          <t>2007/27</t>
        </is>
      </c>
      <c r="G98" s="125" t="inlineStr">
        <is>
          <t>RVSI</t>
        </is>
      </c>
      <c r="H98" s="258" t="inlineStr">
        <is>
          <t>P</t>
        </is>
      </c>
      <c r="I98" s="258" t="inlineStr">
        <is>
          <t>M</t>
        </is>
      </c>
      <c r="J98" s="258" t="n">
        <v>3</v>
      </c>
      <c r="K98" s="124" t="n">
        <v>189000</v>
      </c>
      <c r="L98" s="125" t="inlineStr">
        <is>
          <t>WHITE</t>
        </is>
      </c>
      <c r="M98" s="258" t="n">
        <v>4</v>
      </c>
      <c r="N98" s="124" t="inlineStr">
        <is>
          <t>MH12EG0918</t>
        </is>
      </c>
      <c r="O98" s="124" t="n">
        <v>918</v>
      </c>
      <c r="P98" s="258" t="inlineStr">
        <is>
          <t>Y9</t>
        </is>
      </c>
    </row>
    <row r="99" hidden="1" s="268">
      <c r="A99" s="258" t="n">
        <v>96</v>
      </c>
      <c r="B99" s="258">
        <f>B98+1</f>
        <v/>
      </c>
      <c r="C99" s="121" t="inlineStr">
        <is>
          <t>HOND</t>
        </is>
      </c>
      <c r="D99" s="122" t="inlineStr">
        <is>
          <t>CITY</t>
        </is>
      </c>
      <c r="E99" s="261" t="inlineStr">
        <is>
          <t>2011/07</t>
        </is>
      </c>
      <c r="F99" s="261" t="n"/>
      <c r="G99" s="121" t="inlineStr">
        <is>
          <t>1.5 V MT</t>
        </is>
      </c>
      <c r="H99" s="261" t="inlineStr">
        <is>
          <t>P</t>
        </is>
      </c>
      <c r="I99" s="261" t="inlineStr">
        <is>
          <t>M</t>
        </is>
      </c>
      <c r="J99" s="261" t="n">
        <v>3</v>
      </c>
      <c r="K99" s="122" t="n"/>
      <c r="L99" s="121" t="inlineStr">
        <is>
          <t>GOLD</t>
        </is>
      </c>
      <c r="M99" s="261" t="n">
        <v>189000</v>
      </c>
      <c r="N99" s="122" t="inlineStr">
        <is>
          <t>MH12HF3914</t>
        </is>
      </c>
      <c r="O99" s="122" t="n">
        <v>3914</v>
      </c>
      <c r="P99" s="261" t="inlineStr">
        <is>
          <t>Y5</t>
        </is>
      </c>
    </row>
    <row r="100" hidden="1" s="268">
      <c r="A100" s="258" t="n">
        <v>97</v>
      </c>
      <c r="B100" s="258">
        <f>B99+1</f>
        <v/>
      </c>
      <c r="C100" s="121" t="inlineStr">
        <is>
          <t>HOND</t>
        </is>
      </c>
      <c r="D100" s="122" t="inlineStr">
        <is>
          <t>CITY</t>
        </is>
      </c>
      <c r="E100" s="261" t="inlineStr">
        <is>
          <t>2011/09</t>
        </is>
      </c>
      <c r="F100" s="261" t="n"/>
      <c r="G100" s="121" t="inlineStr">
        <is>
          <t>1.5 SMT</t>
        </is>
      </c>
      <c r="H100" s="261" t="inlineStr">
        <is>
          <t>P</t>
        </is>
      </c>
      <c r="I100" s="261" t="inlineStr">
        <is>
          <t>M</t>
        </is>
      </c>
      <c r="J100" s="261" t="n">
        <v>2</v>
      </c>
      <c r="K100" s="122" t="n"/>
      <c r="L100" s="121" t="inlineStr">
        <is>
          <t>SIL</t>
        </is>
      </c>
      <c r="M100" s="261" t="n">
        <v>225000</v>
      </c>
      <c r="N100" s="122" t="inlineStr">
        <is>
          <t>MH01AX8314</t>
        </is>
      </c>
      <c r="O100" s="122" t="n">
        <v>8314</v>
      </c>
      <c r="P100" s="261" t="inlineStr">
        <is>
          <t>U6</t>
        </is>
      </c>
    </row>
    <row r="101" hidden="1" customFormat="1" s="252">
      <c r="A101" s="261" t="n">
        <v>37</v>
      </c>
      <c r="B101" s="258">
        <f>B100+1</f>
        <v/>
      </c>
      <c r="C101" s="121" t="inlineStr">
        <is>
          <t>MAHI</t>
        </is>
      </c>
      <c r="D101" s="122" t="inlineStr">
        <is>
          <t>XYLO</t>
        </is>
      </c>
      <c r="E101" s="261" t="n">
        <v>2010</v>
      </c>
      <c r="F101" s="261" t="n"/>
      <c r="G101" s="121" t="inlineStr">
        <is>
          <t>D 4</t>
        </is>
      </c>
      <c r="H101" s="261" t="inlineStr">
        <is>
          <t>D</t>
        </is>
      </c>
      <c r="I101" s="261" t="inlineStr">
        <is>
          <t>M</t>
        </is>
      </c>
      <c r="J101" s="261" t="n">
        <v>3</v>
      </c>
      <c r="K101" s="122" t="n">
        <v>195000</v>
      </c>
      <c r="L101" s="121" t="inlineStr">
        <is>
          <t>BLA</t>
        </is>
      </c>
      <c r="M101" s="261" t="n">
        <v>4</v>
      </c>
      <c r="N101" s="122" t="inlineStr">
        <is>
          <t>MH06AZ3418</t>
        </is>
      </c>
      <c r="O101" s="122" t="n">
        <v>3418</v>
      </c>
      <c r="P101" s="261" t="inlineStr">
        <is>
          <t>N7</t>
        </is>
      </c>
    </row>
    <row r="102" hidden="1" s="268">
      <c r="A102" s="258" t="n">
        <v>27</v>
      </c>
      <c r="B102" s="258">
        <f>B101+1</f>
        <v/>
      </c>
      <c r="C102" s="125" t="inlineStr">
        <is>
          <t>MAHI</t>
        </is>
      </c>
      <c r="D102" s="124" t="inlineStr">
        <is>
          <t>KUV100</t>
        </is>
      </c>
      <c r="E102" s="258" t="n">
        <v>2017</v>
      </c>
      <c r="F102" s="258" t="inlineStr">
        <is>
          <t>OCT</t>
        </is>
      </c>
      <c r="G102" s="125" t="inlineStr">
        <is>
          <t>K4</t>
        </is>
      </c>
      <c r="H102" s="258" t="inlineStr">
        <is>
          <t>CR</t>
        </is>
      </c>
      <c r="I102" s="258" t="inlineStr">
        <is>
          <t>M</t>
        </is>
      </c>
      <c r="J102" s="258" t="n">
        <v>3</v>
      </c>
      <c r="K102" s="124" t="n">
        <v>201500</v>
      </c>
      <c r="L102" s="125" t="inlineStr">
        <is>
          <t>RED</t>
        </is>
      </c>
      <c r="M102" s="258" t="n">
        <v>33</v>
      </c>
      <c r="N102" s="124" t="inlineStr">
        <is>
          <t>MH05CV8194</t>
        </is>
      </c>
      <c r="O102" s="124" t="n">
        <v>8194</v>
      </c>
    </row>
    <row r="103" hidden="1" s="268">
      <c r="A103" s="258" t="n">
        <v>100</v>
      </c>
      <c r="B103" s="258">
        <f>B102+1</f>
        <v/>
      </c>
      <c r="C103" s="125" t="inlineStr">
        <is>
          <t>HOND</t>
        </is>
      </c>
      <c r="D103" s="124" t="inlineStr">
        <is>
          <t>CITY</t>
        </is>
      </c>
      <c r="E103" s="258" t="n">
        <v>2019</v>
      </c>
      <c r="G103" s="125" t="inlineStr">
        <is>
          <t>1.5 VMT</t>
        </is>
      </c>
      <c r="H103" s="258" t="inlineStr">
        <is>
          <t>CR</t>
        </is>
      </c>
      <c r="I103" s="258" t="inlineStr">
        <is>
          <t>M</t>
        </is>
      </c>
      <c r="J103" s="258" t="n">
        <v>2</v>
      </c>
      <c r="L103" s="125" t="inlineStr">
        <is>
          <t>SILVER</t>
        </is>
      </c>
      <c r="M103" s="258" t="n">
        <v>619000</v>
      </c>
      <c r="N103" s="124" t="inlineStr">
        <is>
          <t>MH02FE1107</t>
        </is>
      </c>
      <c r="O103" s="124" t="n">
        <v>1107</v>
      </c>
      <c r="P103" s="258" t="inlineStr">
        <is>
          <t>U9</t>
        </is>
      </c>
    </row>
    <row r="104" hidden="1" s="268">
      <c r="A104" s="258" t="n">
        <v>95</v>
      </c>
      <c r="B104" s="258">
        <f>B103+1</f>
        <v/>
      </c>
      <c r="C104" s="121" t="inlineStr">
        <is>
          <t>HOND</t>
        </is>
      </c>
      <c r="D104" s="124" t="inlineStr">
        <is>
          <t>CITY</t>
        </is>
      </c>
      <c r="E104" s="258" t="inlineStr">
        <is>
          <t>2011/01</t>
        </is>
      </c>
      <c r="G104" s="125" t="inlineStr">
        <is>
          <t>1.5 SMT</t>
        </is>
      </c>
      <c r="H104" s="258" t="inlineStr">
        <is>
          <t>P</t>
        </is>
      </c>
      <c r="I104" s="258" t="inlineStr">
        <is>
          <t>M</t>
        </is>
      </c>
      <c r="J104" s="258" t="n">
        <v>1</v>
      </c>
      <c r="K104" s="124" t="n">
        <v>225000</v>
      </c>
      <c r="L104" s="125" t="inlineStr">
        <is>
          <t>WHI</t>
        </is>
      </c>
      <c r="M104" s="258" t="n">
        <v>4</v>
      </c>
      <c r="N104" s="124" t="inlineStr">
        <is>
          <t>MH04ET9494</t>
        </is>
      </c>
      <c r="O104" s="124" t="n">
        <v>9494</v>
      </c>
      <c r="P104" s="258" t="inlineStr">
        <is>
          <t>RAS</t>
        </is>
      </c>
    </row>
    <row r="105" hidden="1" s="268">
      <c r="A105" s="262" t="n">
        <v>102</v>
      </c>
      <c r="B105" s="258">
        <f>B104+1</f>
        <v/>
      </c>
      <c r="C105" s="164" t="inlineStr">
        <is>
          <t>HYUN</t>
        </is>
      </c>
      <c r="D105" s="165" t="inlineStr">
        <is>
          <t>VERNA</t>
        </is>
      </c>
      <c r="E105" s="251" t="n">
        <v>2015</v>
      </c>
      <c r="F105" s="251" t="n"/>
      <c r="G105" s="164" t="inlineStr">
        <is>
          <t>4S 1.6</t>
        </is>
      </c>
      <c r="H105" s="251" t="inlineStr">
        <is>
          <t>P</t>
        </is>
      </c>
      <c r="I105" s="251" t="inlineStr">
        <is>
          <t>A</t>
        </is>
      </c>
      <c r="J105" s="251" t="n">
        <v>2</v>
      </c>
      <c r="K105" s="165" t="n">
        <v>222</v>
      </c>
      <c r="L105" s="164" t="inlineStr">
        <is>
          <t>SIL</t>
        </is>
      </c>
      <c r="M105" s="251" t="n">
        <v>389000</v>
      </c>
      <c r="N105" s="165" t="inlineStr">
        <is>
          <t>MH02DW6849</t>
        </is>
      </c>
      <c r="O105" s="165" t="n">
        <v>6849</v>
      </c>
      <c r="P105" s="251" t="inlineStr">
        <is>
          <t>T6</t>
        </is>
      </c>
    </row>
    <row r="106" hidden="1" s="268">
      <c r="A106" s="258" t="n">
        <v>103</v>
      </c>
      <c r="B106" s="258">
        <f>B105+1</f>
        <v/>
      </c>
      <c r="C106" s="121" t="inlineStr">
        <is>
          <t>HYUN</t>
        </is>
      </c>
      <c r="D106" s="122" t="inlineStr">
        <is>
          <t>VERNA</t>
        </is>
      </c>
      <c r="E106" s="261" t="n">
        <v>2019</v>
      </c>
      <c r="F106" s="261" t="n"/>
      <c r="G106" s="121" t="inlineStr">
        <is>
          <t>SX OPT</t>
        </is>
      </c>
      <c r="H106" s="261" t="inlineStr">
        <is>
          <t>C</t>
        </is>
      </c>
      <c r="I106" s="261" t="inlineStr">
        <is>
          <t>M</t>
        </is>
      </c>
      <c r="J106" s="261" t="n">
        <v>1</v>
      </c>
      <c r="K106" s="122" t="n"/>
      <c r="L106" s="121" t="inlineStr">
        <is>
          <t>RED</t>
        </is>
      </c>
      <c r="M106" s="261" t="n">
        <v>599000</v>
      </c>
      <c r="N106" s="122" t="inlineStr">
        <is>
          <t>MH01DE8574</t>
        </is>
      </c>
      <c r="O106" s="122" t="n">
        <v>8574</v>
      </c>
      <c r="P106" s="261" t="inlineStr">
        <is>
          <t>SONI</t>
        </is>
      </c>
    </row>
    <row r="107" hidden="1" s="268">
      <c r="A107" s="262" t="n">
        <v>104</v>
      </c>
      <c r="B107" s="258">
        <f>B106+1</f>
        <v/>
      </c>
      <c r="C107" s="164" t="inlineStr">
        <is>
          <t>HYUN</t>
        </is>
      </c>
      <c r="D107" s="165" t="inlineStr">
        <is>
          <t xml:space="preserve">ELANTRA </t>
        </is>
      </c>
      <c r="E107" s="251" t="n">
        <v>2013</v>
      </c>
      <c r="F107" s="251" t="n"/>
      <c r="G107" s="164" t="inlineStr">
        <is>
          <t>VTVT</t>
        </is>
      </c>
      <c r="H107" s="251" t="inlineStr">
        <is>
          <t>C</t>
        </is>
      </c>
      <c r="I107" s="251" t="inlineStr">
        <is>
          <t>M</t>
        </is>
      </c>
      <c r="J107" s="251" t="n">
        <v>3</v>
      </c>
      <c r="K107" s="165" t="n"/>
      <c r="L107" s="164" t="inlineStr">
        <is>
          <t>BRO</t>
        </is>
      </c>
      <c r="M107" s="251" t="n">
        <v>395000</v>
      </c>
      <c r="N107" s="165" t="inlineStr">
        <is>
          <t>MH46X 3034</t>
        </is>
      </c>
      <c r="O107" s="165" t="n">
        <v>3034</v>
      </c>
      <c r="P107" s="251" t="inlineStr">
        <is>
          <t>Q3</t>
        </is>
      </c>
    </row>
    <row r="108" hidden="1" s="268">
      <c r="A108" s="258" t="n">
        <v>105</v>
      </c>
      <c r="B108" s="258">
        <f>B107+1</f>
        <v/>
      </c>
      <c r="C108" s="121" t="inlineStr">
        <is>
          <t>HYUN</t>
        </is>
      </c>
      <c r="D108" s="122" t="inlineStr">
        <is>
          <t xml:space="preserve">ELANTRA </t>
        </is>
      </c>
      <c r="E108" s="261" t="n">
        <v>2013</v>
      </c>
      <c r="F108" s="261" t="n"/>
      <c r="G108" s="121" t="inlineStr">
        <is>
          <t>SX</t>
        </is>
      </c>
      <c r="H108" s="261" t="inlineStr">
        <is>
          <t>D</t>
        </is>
      </c>
      <c r="I108" s="261" t="inlineStr">
        <is>
          <t>M</t>
        </is>
      </c>
      <c r="J108" s="261" t="n">
        <v>3</v>
      </c>
      <c r="K108" s="122" t="n"/>
      <c r="L108" s="121" t="inlineStr">
        <is>
          <t>WHI</t>
        </is>
      </c>
      <c r="M108" s="261" t="n">
        <v>395000</v>
      </c>
      <c r="N108" s="122" t="inlineStr">
        <is>
          <t>MH22X7770</t>
        </is>
      </c>
      <c r="O108" s="122" t="n">
        <v>7770</v>
      </c>
      <c r="P108" s="261" t="inlineStr">
        <is>
          <t>Q2</t>
        </is>
      </c>
    </row>
    <row r="109" hidden="1" s="268">
      <c r="A109" s="258" t="n">
        <v>106</v>
      </c>
      <c r="B109" s="258">
        <f>B108+1</f>
        <v/>
      </c>
      <c r="C109" s="125" t="inlineStr">
        <is>
          <t>HYUN</t>
        </is>
      </c>
      <c r="D109" s="124" t="inlineStr">
        <is>
          <t>ELENTRA</t>
        </is>
      </c>
      <c r="E109" s="258" t="n">
        <v>2014</v>
      </c>
      <c r="G109" s="125" t="inlineStr">
        <is>
          <t>SX OPT</t>
        </is>
      </c>
      <c r="H109" s="258" t="inlineStr">
        <is>
          <t>C</t>
        </is>
      </c>
      <c r="I109" s="258" t="inlineStr">
        <is>
          <t>A</t>
        </is>
      </c>
      <c r="J109" s="258" t="n">
        <v>2</v>
      </c>
      <c r="L109" s="125" t="inlineStr">
        <is>
          <t>SIL</t>
        </is>
      </c>
      <c r="M109" s="258" t="n">
        <v>399000</v>
      </c>
      <c r="N109" s="124" t="inlineStr">
        <is>
          <t>MH01BK8914</t>
        </is>
      </c>
      <c r="O109" s="124" t="n">
        <v>8914</v>
      </c>
      <c r="P109" s="258" t="inlineStr">
        <is>
          <t>Q1</t>
        </is>
      </c>
    </row>
    <row r="110" hidden="1" s="268">
      <c r="A110" s="262" t="n">
        <v>107</v>
      </c>
      <c r="B110" s="258">
        <f>B109+1</f>
        <v/>
      </c>
      <c r="C110" s="164" t="inlineStr">
        <is>
          <t>HYUN</t>
        </is>
      </c>
      <c r="D110" s="165" t="inlineStr">
        <is>
          <t>ELANTRA</t>
        </is>
      </c>
      <c r="E110" s="251" t="n">
        <v>2019</v>
      </c>
      <c r="F110" s="251" t="n"/>
      <c r="G110" s="164" t="inlineStr">
        <is>
          <t>VTVT SX</t>
        </is>
      </c>
      <c r="H110" s="251" t="inlineStr">
        <is>
          <t>P</t>
        </is>
      </c>
      <c r="I110" s="251" t="inlineStr">
        <is>
          <t>M</t>
        </is>
      </c>
      <c r="J110" s="251" t="n">
        <v>2</v>
      </c>
      <c r="K110" s="165" t="n"/>
      <c r="L110" s="164" t="inlineStr">
        <is>
          <t>SILVER</t>
        </is>
      </c>
      <c r="M110" s="251" t="n">
        <v>689000</v>
      </c>
      <c r="N110" s="165" t="inlineStr">
        <is>
          <t>MH03DA8294</t>
        </is>
      </c>
      <c r="O110" s="165" t="n">
        <v>8294</v>
      </c>
      <c r="P110" s="251" t="inlineStr">
        <is>
          <t>V4</t>
        </is>
      </c>
    </row>
    <row r="111" hidden="1" s="268">
      <c r="A111" s="258" t="n">
        <v>188</v>
      </c>
      <c r="B111" s="258">
        <f>B110+1</f>
        <v/>
      </c>
      <c r="C111" s="125" t="inlineStr">
        <is>
          <t>VOX</t>
        </is>
      </c>
      <c r="D111" s="124" t="inlineStr">
        <is>
          <t>POLO</t>
        </is>
      </c>
      <c r="E111" s="258" t="n">
        <v>2012</v>
      </c>
      <c r="G111" s="125" t="inlineStr">
        <is>
          <t>HIGHLINE</t>
        </is>
      </c>
      <c r="H111" s="258" t="inlineStr">
        <is>
          <t>P</t>
        </is>
      </c>
      <c r="I111" s="258" t="inlineStr">
        <is>
          <t>M</t>
        </is>
      </c>
      <c r="J111" s="258" t="n">
        <v>3</v>
      </c>
      <c r="K111" s="124" t="n">
        <v>77895</v>
      </c>
      <c r="L111" s="125" t="inlineStr">
        <is>
          <t>BLUE</t>
        </is>
      </c>
      <c r="N111" s="124" t="inlineStr">
        <is>
          <t>MH03BH5132</t>
        </is>
      </c>
      <c r="O111" s="124" t="n">
        <v>5132</v>
      </c>
    </row>
    <row r="112" hidden="1" s="268">
      <c r="A112" s="258" t="n">
        <v>109</v>
      </c>
      <c r="B112" s="258">
        <f>B111+1</f>
        <v/>
      </c>
      <c r="C112" s="125" t="inlineStr">
        <is>
          <t>HUYN</t>
        </is>
      </c>
      <c r="D112" s="124" t="inlineStr">
        <is>
          <t>XCENT</t>
        </is>
      </c>
      <c r="E112" s="258" t="n">
        <v>2016</v>
      </c>
      <c r="F112" s="253" t="n">
        <v>46388</v>
      </c>
      <c r="G112" s="125" t="inlineStr">
        <is>
          <t>XCENT CRDI</t>
        </is>
      </c>
      <c r="H112" s="258" t="inlineStr">
        <is>
          <t>D</t>
        </is>
      </c>
      <c r="I112" s="258" t="inlineStr">
        <is>
          <t>M</t>
        </is>
      </c>
      <c r="J112" s="258" t="n">
        <v>4</v>
      </c>
      <c r="L112" s="125" t="inlineStr">
        <is>
          <t>WHI</t>
        </is>
      </c>
      <c r="M112" s="258" t="n">
        <v>229000</v>
      </c>
      <c r="N112" s="124" t="inlineStr">
        <is>
          <t>MH12NB1522</t>
        </is>
      </c>
      <c r="O112" s="124" t="n">
        <v>1522</v>
      </c>
      <c r="P112" s="258" t="inlineStr">
        <is>
          <t>W1</t>
        </is>
      </c>
    </row>
    <row r="113" hidden="1" s="268">
      <c r="A113" s="262" t="n">
        <v>34</v>
      </c>
      <c r="B113" s="258">
        <f>B112+1</f>
        <v/>
      </c>
      <c r="C113" s="263" t="inlineStr">
        <is>
          <t>MAHI</t>
        </is>
      </c>
      <c r="D113" s="264" t="inlineStr">
        <is>
          <t>QUANTO</t>
        </is>
      </c>
      <c r="E113" s="262" t="n">
        <v>2013</v>
      </c>
      <c r="F113" s="262" t="n"/>
      <c r="G113" s="263" t="inlineStr">
        <is>
          <t>C6 7SF</t>
        </is>
      </c>
      <c r="H113" s="262" t="inlineStr">
        <is>
          <t>D</t>
        </is>
      </c>
      <c r="I113" s="262" t="inlineStr">
        <is>
          <t>M</t>
        </is>
      </c>
      <c r="J113" s="262" t="n">
        <v>1</v>
      </c>
      <c r="K113" s="264" t="n">
        <v>249000</v>
      </c>
      <c r="L113" s="263" t="inlineStr">
        <is>
          <t>SILVE</t>
        </is>
      </c>
      <c r="M113" s="262" t="n">
        <v>4</v>
      </c>
      <c r="N113" s="264" t="inlineStr">
        <is>
          <t>MH31EK0926</t>
        </is>
      </c>
      <c r="O113" s="264" t="n">
        <v>926</v>
      </c>
      <c r="P113" s="262" t="inlineStr">
        <is>
          <t>N8</t>
        </is>
      </c>
    </row>
    <row r="114" hidden="1" s="268">
      <c r="A114" s="258" t="n">
        <v>111</v>
      </c>
      <c r="B114" s="258">
        <f>B113+1</f>
        <v/>
      </c>
      <c r="C114" s="125" t="inlineStr">
        <is>
          <t>MARU</t>
        </is>
      </c>
      <c r="D114" s="124" t="inlineStr">
        <is>
          <t>CIAZ</t>
        </is>
      </c>
      <c r="E114" s="258" t="n">
        <v>2016</v>
      </c>
      <c r="G114" s="125" t="inlineStr">
        <is>
          <t>ZXI+</t>
        </is>
      </c>
      <c r="H114" s="258" t="inlineStr">
        <is>
          <t>D</t>
        </is>
      </c>
      <c r="I114" s="258" t="inlineStr">
        <is>
          <t>M</t>
        </is>
      </c>
      <c r="J114" s="258" t="n">
        <v>1</v>
      </c>
      <c r="L114" s="125" t="inlineStr">
        <is>
          <t>GREY</t>
        </is>
      </c>
      <c r="M114" s="258" t="n">
        <v>409000</v>
      </c>
      <c r="N114" s="124" t="inlineStr">
        <is>
          <t>MH02EE4816</t>
        </is>
      </c>
      <c r="O114" s="124" t="n">
        <v>4816</v>
      </c>
      <c r="P114" s="258" t="inlineStr">
        <is>
          <t>R2</t>
        </is>
      </c>
    </row>
    <row r="115" hidden="1" s="268">
      <c r="A115" s="258" t="n">
        <v>108</v>
      </c>
      <c r="B115" s="258">
        <f>B114+1</f>
        <v/>
      </c>
      <c r="C115" s="125" t="inlineStr">
        <is>
          <t>HYUN</t>
        </is>
      </c>
      <c r="D115" s="125" t="inlineStr">
        <is>
          <t>SONATA</t>
        </is>
      </c>
      <c r="E115" s="258" t="n">
        <v>2013</v>
      </c>
      <c r="F115" s="125" t="inlineStr">
        <is>
          <t>EXP</t>
        </is>
      </c>
      <c r="G115" s="125" t="inlineStr">
        <is>
          <t>GDI</t>
        </is>
      </c>
      <c r="H115" s="258" t="inlineStr">
        <is>
          <t>P</t>
        </is>
      </c>
      <c r="I115" s="258" t="inlineStr">
        <is>
          <t>A</t>
        </is>
      </c>
      <c r="J115" s="258" t="n">
        <v>3</v>
      </c>
      <c r="K115" s="124" t="n">
        <v>249000</v>
      </c>
      <c r="L115" s="125" t="inlineStr">
        <is>
          <t>BLACK</t>
        </is>
      </c>
      <c r="M115" s="258" t="n">
        <v>4</v>
      </c>
      <c r="N115" s="125" t="inlineStr">
        <is>
          <t>MH43AP9393</t>
        </is>
      </c>
      <c r="O115" s="124" t="n">
        <v>9393</v>
      </c>
      <c r="P115" s="258" t="inlineStr">
        <is>
          <t>Y4</t>
        </is>
      </c>
    </row>
    <row r="116" hidden="1" s="268">
      <c r="A116" s="258" t="n">
        <v>113</v>
      </c>
      <c r="B116" s="258">
        <f>B115+1</f>
        <v/>
      </c>
      <c r="C116" s="125" t="inlineStr">
        <is>
          <t>MARU</t>
        </is>
      </c>
      <c r="D116" s="124" t="inlineStr">
        <is>
          <t>DESIRE</t>
        </is>
      </c>
      <c r="E116" s="258" t="inlineStr">
        <is>
          <t>2008/28</t>
        </is>
      </c>
      <c r="G116" s="125" t="inlineStr">
        <is>
          <t>LXI</t>
        </is>
      </c>
      <c r="H116" s="258" t="inlineStr">
        <is>
          <t>CR</t>
        </is>
      </c>
      <c r="I116" s="258" t="inlineStr">
        <is>
          <t>M</t>
        </is>
      </c>
      <c r="J116" s="258" t="n">
        <v>3</v>
      </c>
      <c r="L116" s="121" t="inlineStr">
        <is>
          <t>GOLD</t>
        </is>
      </c>
      <c r="M116" s="258" t="n">
        <v>120000</v>
      </c>
      <c r="N116" s="124" t="inlineStr">
        <is>
          <t>MH03AM8234</t>
        </is>
      </c>
      <c r="O116" s="124" t="n">
        <v>8234</v>
      </c>
    </row>
    <row r="117" hidden="1" s="268">
      <c r="A117" s="258" t="n">
        <v>114</v>
      </c>
      <c r="B117" s="258">
        <f>B116+1</f>
        <v/>
      </c>
      <c r="C117" s="121" t="inlineStr">
        <is>
          <t>MARU</t>
        </is>
      </c>
      <c r="D117" s="122" t="inlineStr">
        <is>
          <t>DESIRE</t>
        </is>
      </c>
      <c r="E117" s="261" t="inlineStr">
        <is>
          <t>2010/25</t>
        </is>
      </c>
      <c r="F117" s="261" t="n"/>
      <c r="G117" s="121" t="inlineStr">
        <is>
          <t>VXI</t>
        </is>
      </c>
      <c r="H117" s="261" t="inlineStr">
        <is>
          <t>P</t>
        </is>
      </c>
      <c r="I117" s="261" t="inlineStr">
        <is>
          <t>M</t>
        </is>
      </c>
      <c r="J117" s="261" t="n">
        <v>3</v>
      </c>
      <c r="K117" s="122" t="n"/>
      <c r="L117" s="121" t="inlineStr">
        <is>
          <t>GREY</t>
        </is>
      </c>
      <c r="M117" s="261" t="n">
        <v>142000</v>
      </c>
      <c r="N117" s="122" t="inlineStr">
        <is>
          <t>MH02BP3472</t>
        </is>
      </c>
      <c r="O117" s="122" t="n">
        <v>3472</v>
      </c>
      <c r="P117" s="261" t="n"/>
    </row>
    <row r="118" hidden="1" customFormat="1" s="252">
      <c r="A118" s="258" t="n">
        <v>151</v>
      </c>
      <c r="B118" s="258">
        <f>B117+1</f>
        <v/>
      </c>
      <c r="C118" s="125" t="inlineStr">
        <is>
          <t>VOX</t>
        </is>
      </c>
      <c r="D118" s="124" t="inlineStr">
        <is>
          <t>VENTO</t>
        </is>
      </c>
      <c r="E118" s="258" t="n">
        <v>2013</v>
      </c>
      <c r="F118" s="258" t="n"/>
      <c r="G118" s="125" t="inlineStr">
        <is>
          <t>1.6 MTI</t>
        </is>
      </c>
      <c r="H118" s="258" t="inlineStr">
        <is>
          <t>PC</t>
        </is>
      </c>
      <c r="I118" s="258" t="inlineStr">
        <is>
          <t>M</t>
        </is>
      </c>
      <c r="J118" s="258" t="n">
        <v>3</v>
      </c>
      <c r="K118" s="124" t="n">
        <v>269000</v>
      </c>
      <c r="L118" s="125" t="inlineStr">
        <is>
          <t>GREY</t>
        </is>
      </c>
      <c r="M118" s="258" t="n">
        <v>4</v>
      </c>
      <c r="N118" s="124" t="inlineStr">
        <is>
          <t>MH05BS6327</t>
        </is>
      </c>
      <c r="O118" s="124" t="n">
        <v>6327</v>
      </c>
      <c r="P118" s="258" t="inlineStr">
        <is>
          <t>Y3</t>
        </is>
      </c>
    </row>
    <row r="119" hidden="1" s="268">
      <c r="A119" s="258" t="n">
        <v>116</v>
      </c>
      <c r="B119" s="258">
        <f>B118+1</f>
        <v/>
      </c>
      <c r="C119" s="121" t="inlineStr">
        <is>
          <t>MARU</t>
        </is>
      </c>
      <c r="D119" s="122" t="inlineStr">
        <is>
          <t>DESIRE</t>
        </is>
      </c>
      <c r="E119" s="261" t="n">
        <v>2011</v>
      </c>
      <c r="F119" s="261" t="n"/>
      <c r="G119" s="121" t="inlineStr">
        <is>
          <t>LXI BS4</t>
        </is>
      </c>
      <c r="H119" s="261" t="inlineStr">
        <is>
          <t>CR</t>
        </is>
      </c>
      <c r="I119" s="261" t="inlineStr">
        <is>
          <t>M</t>
        </is>
      </c>
      <c r="J119" s="261" t="n">
        <v>2</v>
      </c>
      <c r="K119" s="122" t="n"/>
      <c r="L119" s="121" t="inlineStr">
        <is>
          <t>SIL</t>
        </is>
      </c>
      <c r="M119" s="261" t="n">
        <v>154000</v>
      </c>
      <c r="N119" s="122" t="inlineStr">
        <is>
          <t>MH02CD0683</t>
        </is>
      </c>
      <c r="O119" s="122" t="n">
        <v>683</v>
      </c>
      <c r="P119" s="261" t="inlineStr">
        <is>
          <t>L96</t>
        </is>
      </c>
    </row>
    <row r="120" hidden="1" s="268">
      <c r="A120" s="258" t="n">
        <v>117</v>
      </c>
      <c r="B120" s="258">
        <f>B119+1</f>
        <v/>
      </c>
      <c r="C120" s="125" t="inlineStr">
        <is>
          <t>MARU</t>
        </is>
      </c>
      <c r="D120" s="124" t="inlineStr">
        <is>
          <t>DESIRE</t>
        </is>
      </c>
      <c r="E120" s="258" t="n">
        <v>9</v>
      </c>
      <c r="F120" s="258" t="inlineStr">
        <is>
          <t>EXP</t>
        </is>
      </c>
      <c r="G120" s="125" t="inlineStr">
        <is>
          <t>AUTOMA</t>
        </is>
      </c>
      <c r="H120" s="258" t="inlineStr">
        <is>
          <t>P</t>
        </is>
      </c>
      <c r="I120" s="258" t="inlineStr">
        <is>
          <t>A</t>
        </is>
      </c>
      <c r="J120" s="258" t="n">
        <v>2</v>
      </c>
      <c r="L120" s="125" t="inlineStr">
        <is>
          <t>WHI</t>
        </is>
      </c>
      <c r="M120" s="258" t="n">
        <v>279000</v>
      </c>
      <c r="N120" s="124" t="inlineStr">
        <is>
          <t>MH02CP7191</t>
        </is>
      </c>
      <c r="O120" s="124" t="n">
        <v>7191</v>
      </c>
      <c r="P120" s="258" t="inlineStr">
        <is>
          <t>V1</t>
        </is>
      </c>
    </row>
    <row r="121" hidden="1" s="268">
      <c r="A121" s="258" t="n">
        <v>118</v>
      </c>
      <c r="B121" s="258">
        <f>B120+1</f>
        <v/>
      </c>
      <c r="C121" s="125" t="inlineStr">
        <is>
          <t>MARU</t>
        </is>
      </c>
      <c r="D121" s="124" t="inlineStr">
        <is>
          <t>DESIRE</t>
        </is>
      </c>
      <c r="E121" s="258" t="n">
        <v>2016</v>
      </c>
      <c r="G121" s="125" t="inlineStr">
        <is>
          <t>VXI</t>
        </is>
      </c>
      <c r="H121" s="258" t="inlineStr">
        <is>
          <t>P</t>
        </is>
      </c>
      <c r="I121" s="258" t="inlineStr">
        <is>
          <t>M</t>
        </is>
      </c>
      <c r="J121" s="258" t="n">
        <v>1</v>
      </c>
      <c r="L121" s="125" t="inlineStr">
        <is>
          <t>SIL</t>
        </is>
      </c>
      <c r="M121" s="258" t="n">
        <v>395000</v>
      </c>
      <c r="N121" s="124" t="inlineStr">
        <is>
          <t>MH05CV1445</t>
        </is>
      </c>
      <c r="O121" s="124" t="n">
        <v>1445</v>
      </c>
      <c r="P121" s="258" t="inlineStr">
        <is>
          <t>S7</t>
        </is>
      </c>
    </row>
    <row r="122" hidden="1" s="268">
      <c r="A122" s="258" t="n">
        <v>119</v>
      </c>
      <c r="B122" s="258">
        <f>B121+1</f>
        <v/>
      </c>
      <c r="C122" s="125" t="inlineStr">
        <is>
          <t>MARU</t>
        </is>
      </c>
      <c r="D122" s="124" t="inlineStr">
        <is>
          <t>SX4</t>
        </is>
      </c>
      <c r="E122" s="258" t="inlineStr">
        <is>
          <t>2007/28</t>
        </is>
      </c>
      <c r="F122" s="258" t="inlineStr">
        <is>
          <t>OCT</t>
        </is>
      </c>
      <c r="G122" s="125" t="inlineStr">
        <is>
          <t xml:space="preserve">ZXI </t>
        </is>
      </c>
      <c r="H122" s="258" t="inlineStr">
        <is>
          <t>P</t>
        </is>
      </c>
      <c r="I122" s="258" t="inlineStr">
        <is>
          <t>M</t>
        </is>
      </c>
      <c r="J122" s="258" t="n">
        <v>1</v>
      </c>
      <c r="L122" s="125" t="inlineStr">
        <is>
          <t>BLACK</t>
        </is>
      </c>
      <c r="M122" s="258" t="n">
        <v>129000</v>
      </c>
      <c r="N122" s="124" t="inlineStr">
        <is>
          <t>MH03AM3393</t>
        </is>
      </c>
      <c r="O122" s="124" t="n">
        <v>3393</v>
      </c>
      <c r="P122" s="258" t="inlineStr">
        <is>
          <t>U2</t>
        </is>
      </c>
    </row>
    <row r="123" hidden="1" s="268">
      <c r="A123" s="262" t="n">
        <v>120</v>
      </c>
      <c r="B123" s="258">
        <f>B122+1</f>
        <v/>
      </c>
      <c r="C123" s="164" t="inlineStr">
        <is>
          <t>MARU</t>
        </is>
      </c>
      <c r="D123" s="165" t="inlineStr">
        <is>
          <t>SX4</t>
        </is>
      </c>
      <c r="E123" s="251" t="inlineStr">
        <is>
          <t>2009/31</t>
        </is>
      </c>
      <c r="F123" s="251" t="n"/>
      <c r="G123" s="164" t="n"/>
      <c r="H123" s="251" t="inlineStr">
        <is>
          <t>P</t>
        </is>
      </c>
      <c r="I123" s="251" t="inlineStr">
        <is>
          <t>M</t>
        </is>
      </c>
      <c r="J123" s="251" t="n">
        <v>1</v>
      </c>
      <c r="K123" s="165" t="n"/>
      <c r="L123" s="164" t="inlineStr">
        <is>
          <t>BLACK</t>
        </is>
      </c>
      <c r="M123" s="251" t="n">
        <v>199000</v>
      </c>
      <c r="N123" s="165" t="inlineStr">
        <is>
          <t>MH43X4524</t>
        </is>
      </c>
      <c r="O123" s="165" t="n">
        <v>4524</v>
      </c>
      <c r="P123" s="251" t="inlineStr">
        <is>
          <t>Y5</t>
        </is>
      </c>
    </row>
    <row r="124" hidden="1" s="268">
      <c r="A124" s="258" t="n">
        <v>51</v>
      </c>
      <c r="B124" s="258">
        <f>B123+1</f>
        <v/>
      </c>
      <c r="C124" s="125" t="inlineStr">
        <is>
          <t>RENA</t>
        </is>
      </c>
      <c r="D124" s="124" t="inlineStr">
        <is>
          <t>DUSTER</t>
        </is>
      </c>
      <c r="E124" s="258" t="n">
        <v>2013</v>
      </c>
      <c r="H124" s="258" t="inlineStr">
        <is>
          <t>D</t>
        </is>
      </c>
      <c r="I124" s="258" t="inlineStr">
        <is>
          <t>M</t>
        </is>
      </c>
      <c r="J124" s="258" t="n">
        <v>3</v>
      </c>
      <c r="K124" s="124" t="n">
        <v>289000</v>
      </c>
      <c r="L124" s="125" t="inlineStr">
        <is>
          <t>BRO</t>
        </is>
      </c>
      <c r="M124" s="258" t="n">
        <v>4</v>
      </c>
      <c r="N124" s="124" t="inlineStr">
        <is>
          <t>MH02CW6399</t>
        </is>
      </c>
      <c r="O124" s="124" t="n">
        <v>6399</v>
      </c>
      <c r="P124" s="258" t="inlineStr">
        <is>
          <t>ABR</t>
        </is>
      </c>
    </row>
    <row r="125" hidden="1" s="268">
      <c r="A125" s="261" t="n">
        <v>50</v>
      </c>
      <c r="B125" s="258">
        <f>B124+1</f>
        <v/>
      </c>
      <c r="C125" s="121" t="inlineStr">
        <is>
          <t>NISS</t>
        </is>
      </c>
      <c r="D125" s="122" t="inlineStr">
        <is>
          <t>TERRANO</t>
        </is>
      </c>
      <c r="E125" s="261" t="n">
        <v>2014</v>
      </c>
      <c r="F125" s="261" t="n"/>
      <c r="G125" s="121" t="inlineStr">
        <is>
          <t>XL</t>
        </is>
      </c>
      <c r="H125" s="261" t="inlineStr">
        <is>
          <t>P</t>
        </is>
      </c>
      <c r="I125" s="261" t="inlineStr">
        <is>
          <t>M</t>
        </is>
      </c>
      <c r="J125" s="261" t="n">
        <v>2</v>
      </c>
      <c r="K125" s="122" t="n">
        <v>295000</v>
      </c>
      <c r="L125" s="121" t="inlineStr">
        <is>
          <t>WHI</t>
        </is>
      </c>
      <c r="M125" s="261" t="n">
        <v>4</v>
      </c>
      <c r="N125" s="122" t="inlineStr">
        <is>
          <t>MH02BK7185</t>
        </is>
      </c>
      <c r="O125" s="122" t="n">
        <v>7185</v>
      </c>
      <c r="P125" s="261" t="inlineStr">
        <is>
          <t>Y9</t>
        </is>
      </c>
    </row>
    <row r="126" hidden="1" s="268">
      <c r="A126" s="258" t="n">
        <v>123</v>
      </c>
      <c r="B126" s="258">
        <f>B125+1</f>
        <v/>
      </c>
      <c r="C126" s="121" t="inlineStr">
        <is>
          <t>MARU</t>
        </is>
      </c>
      <c r="D126" s="122" t="inlineStr">
        <is>
          <t>SX4</t>
        </is>
      </c>
      <c r="E126" s="261" t="n">
        <v>2014</v>
      </c>
      <c r="F126" s="261" t="n"/>
      <c r="G126" s="121" t="inlineStr">
        <is>
          <t>VXI</t>
        </is>
      </c>
      <c r="H126" s="261" t="inlineStr">
        <is>
          <t>CP</t>
        </is>
      </c>
      <c r="I126" s="261" t="inlineStr">
        <is>
          <t>M</t>
        </is>
      </c>
      <c r="J126" s="261" t="n">
        <v>1</v>
      </c>
      <c r="K126" s="122" t="n"/>
      <c r="L126" s="121" t="inlineStr">
        <is>
          <t>SIL</t>
        </is>
      </c>
      <c r="M126" s="261" t="n">
        <v>275000</v>
      </c>
      <c r="N126" s="122" t="inlineStr">
        <is>
          <t>MH17AZ1644</t>
        </is>
      </c>
      <c r="O126" s="122" t="n">
        <v>1644</v>
      </c>
      <c r="P126" s="261" t="inlineStr">
        <is>
          <t>Z2</t>
        </is>
      </c>
    </row>
    <row r="127" hidden="1" s="268">
      <c r="A127" s="258" t="n">
        <v>124</v>
      </c>
      <c r="B127" s="258">
        <f>B126+1</f>
        <v/>
      </c>
      <c r="C127" s="125" t="inlineStr">
        <is>
          <t>SKODA</t>
        </is>
      </c>
      <c r="D127" s="124" t="inlineStr">
        <is>
          <t>RAPID</t>
        </is>
      </c>
      <c r="E127" s="258" t="n">
        <v>2012</v>
      </c>
      <c r="H127" s="258" t="inlineStr">
        <is>
          <t>D</t>
        </is>
      </c>
      <c r="I127" s="258" t="inlineStr">
        <is>
          <t>A</t>
        </is>
      </c>
      <c r="J127" s="258" t="n">
        <v>3</v>
      </c>
      <c r="L127" s="125" t="inlineStr">
        <is>
          <t>BEIGE</t>
        </is>
      </c>
      <c r="M127" s="258" t="n">
        <v>269000</v>
      </c>
      <c r="N127" s="124" t="inlineStr">
        <is>
          <t>MH14DF2164</t>
        </is>
      </c>
      <c r="O127" s="124" t="n">
        <v>2164</v>
      </c>
      <c r="P127" s="258" t="inlineStr">
        <is>
          <t>S5</t>
        </is>
      </c>
    </row>
    <row r="128" hidden="1" s="268">
      <c r="A128" s="258" t="n">
        <v>125</v>
      </c>
      <c r="B128" s="258">
        <f>B127+1</f>
        <v/>
      </c>
      <c r="C128" s="125" t="inlineStr">
        <is>
          <t>SKODA</t>
        </is>
      </c>
      <c r="D128" s="124" t="inlineStr">
        <is>
          <t>RAPID</t>
        </is>
      </c>
      <c r="E128" s="261" t="n">
        <v>2015</v>
      </c>
      <c r="G128" s="125" t="inlineStr">
        <is>
          <t>AMBITION</t>
        </is>
      </c>
      <c r="H128" s="258" t="inlineStr">
        <is>
          <t>D</t>
        </is>
      </c>
      <c r="I128" s="258" t="inlineStr">
        <is>
          <t>A</t>
        </is>
      </c>
      <c r="J128" s="258" t="n">
        <v>2</v>
      </c>
      <c r="L128" s="125" t="inlineStr">
        <is>
          <t>BRO</t>
        </is>
      </c>
      <c r="M128" s="258" t="n">
        <v>389000</v>
      </c>
      <c r="N128" s="124" t="inlineStr">
        <is>
          <t>MH47A3060</t>
        </is>
      </c>
      <c r="O128" s="124" t="n">
        <v>3060</v>
      </c>
      <c r="P128" s="258" t="inlineStr">
        <is>
          <t>MANOJ</t>
        </is>
      </c>
    </row>
    <row r="129" hidden="1" s="268">
      <c r="A129" s="258" t="n">
        <v>126</v>
      </c>
      <c r="B129" s="258">
        <f>B128+1</f>
        <v/>
      </c>
      <c r="C129" s="125" t="inlineStr">
        <is>
          <t>SKODA</t>
        </is>
      </c>
      <c r="D129" s="124" t="inlineStr">
        <is>
          <t>RARID</t>
        </is>
      </c>
      <c r="E129" s="258" t="n">
        <v>2016</v>
      </c>
      <c r="G129" s="125" t="inlineStr">
        <is>
          <t>STYLE +</t>
        </is>
      </c>
      <c r="H129" s="258" t="inlineStr">
        <is>
          <t>D</t>
        </is>
      </c>
      <c r="I129" s="258" t="inlineStr">
        <is>
          <t>A</t>
        </is>
      </c>
      <c r="J129" s="258" t="n">
        <v>1</v>
      </c>
      <c r="L129" s="125" t="inlineStr">
        <is>
          <t>WHI</t>
        </is>
      </c>
      <c r="M129" s="258" t="n">
        <v>425000</v>
      </c>
      <c r="N129" s="124" t="inlineStr">
        <is>
          <t>MH02EE7766</t>
        </is>
      </c>
      <c r="O129" s="124" t="n">
        <v>7766</v>
      </c>
      <c r="P129" s="258" t="inlineStr">
        <is>
          <t>S1</t>
        </is>
      </c>
    </row>
    <row r="130" hidden="1" s="268">
      <c r="A130" s="261" t="n">
        <v>13</v>
      </c>
      <c r="B130" s="258">
        <f>B129+1</f>
        <v/>
      </c>
      <c r="C130" s="121" t="inlineStr">
        <is>
          <t>HOND</t>
        </is>
      </c>
      <c r="D130" s="122" t="inlineStr">
        <is>
          <t>MOBILO</t>
        </is>
      </c>
      <c r="E130" s="261" t="n">
        <v>2014</v>
      </c>
      <c r="F130" s="261" t="n"/>
      <c r="G130" s="121" t="inlineStr">
        <is>
          <t>V</t>
        </is>
      </c>
      <c r="H130" s="261" t="inlineStr">
        <is>
          <t>P</t>
        </is>
      </c>
      <c r="I130" s="261" t="inlineStr">
        <is>
          <t>M</t>
        </is>
      </c>
      <c r="J130" s="261" t="n">
        <v>1</v>
      </c>
      <c r="K130" s="122" t="n">
        <v>296000</v>
      </c>
      <c r="L130" s="121" t="inlineStr">
        <is>
          <t>SIL</t>
        </is>
      </c>
      <c r="M130" s="261" t="n">
        <v>33</v>
      </c>
      <c r="N130" s="122" t="inlineStr">
        <is>
          <t>MH02DS5988</t>
        </is>
      </c>
      <c r="O130" s="122" t="n">
        <v>5988</v>
      </c>
      <c r="P130" s="261" t="inlineStr">
        <is>
          <t>H1</t>
        </is>
      </c>
    </row>
    <row r="131" hidden="1" s="268">
      <c r="A131" s="258" t="n">
        <v>128</v>
      </c>
      <c r="B131" s="258">
        <f>B130+1</f>
        <v/>
      </c>
      <c r="C131" s="125" t="inlineStr">
        <is>
          <t>SKODA</t>
        </is>
      </c>
      <c r="D131" s="124" t="inlineStr">
        <is>
          <t>SUPERB</t>
        </is>
      </c>
      <c r="E131" s="258" t="n">
        <v>2014</v>
      </c>
      <c r="G131" s="125" t="inlineStr">
        <is>
          <t xml:space="preserve">ELE AT 1.8 </t>
        </is>
      </c>
      <c r="H131" s="258" t="inlineStr">
        <is>
          <t>P</t>
        </is>
      </c>
      <c r="I131" s="258" t="inlineStr">
        <is>
          <t>A</t>
        </is>
      </c>
      <c r="J131" s="258" t="n">
        <v>2</v>
      </c>
      <c r="L131" s="125" t="inlineStr">
        <is>
          <t>BLUE</t>
        </is>
      </c>
      <c r="M131" s="258" t="n">
        <v>529000</v>
      </c>
      <c r="N131" s="124" t="inlineStr">
        <is>
          <t>MH01BK7001</t>
        </is>
      </c>
      <c r="O131" s="124" t="n">
        <v>7001</v>
      </c>
      <c r="P131" s="258" t="inlineStr">
        <is>
          <t>SAM</t>
        </is>
      </c>
    </row>
    <row r="132" hidden="1" s="268">
      <c r="A132" s="251" t="n">
        <v>61</v>
      </c>
      <c r="B132" s="258">
        <f>B131+1</f>
        <v/>
      </c>
      <c r="C132" s="164" t="inlineStr">
        <is>
          <t>TOYO</t>
        </is>
      </c>
      <c r="D132" s="165" t="inlineStr">
        <is>
          <t>INNOVA</t>
        </is>
      </c>
      <c r="E132" s="251" t="n">
        <v>2006</v>
      </c>
      <c r="F132" s="251" t="n"/>
      <c r="G132" s="164" t="n"/>
      <c r="H132" s="251" t="inlineStr">
        <is>
          <t>D</t>
        </is>
      </c>
      <c r="I132" s="251" t="inlineStr">
        <is>
          <t>M</t>
        </is>
      </c>
      <c r="J132" s="251" t="n">
        <v>3</v>
      </c>
      <c r="K132" s="165" t="n">
        <v>299000</v>
      </c>
      <c r="L132" s="164" t="inlineStr">
        <is>
          <t>SIL</t>
        </is>
      </c>
      <c r="M132" s="251" t="n">
        <v>4</v>
      </c>
      <c r="N132" s="165" t="inlineStr">
        <is>
          <t>MH03AF2646</t>
        </is>
      </c>
      <c r="O132" s="165" t="n">
        <v>2646</v>
      </c>
      <c r="P132" s="251" t="inlineStr">
        <is>
          <t>O1</t>
        </is>
      </c>
    </row>
    <row r="133" hidden="1" s="268">
      <c r="A133" s="258" t="n">
        <v>154</v>
      </c>
      <c r="B133" s="258">
        <f>B132+1</f>
        <v/>
      </c>
      <c r="C133" s="125" t="inlineStr">
        <is>
          <t>HOND</t>
        </is>
      </c>
      <c r="D133" s="124" t="inlineStr">
        <is>
          <t>JAZZ</t>
        </is>
      </c>
      <c r="E133" s="258" t="n">
        <v>2015</v>
      </c>
      <c r="F133" s="258" t="inlineStr">
        <is>
          <t>JULY</t>
        </is>
      </c>
      <c r="G133" s="125" t="inlineStr">
        <is>
          <t>1.5VMT</t>
        </is>
      </c>
      <c r="H133" s="258" t="inlineStr">
        <is>
          <t>D</t>
        </is>
      </c>
      <c r="I133" s="258" t="inlineStr">
        <is>
          <t>M</t>
        </is>
      </c>
      <c r="J133" s="258" t="n">
        <v>3</v>
      </c>
      <c r="K133" s="124" t="n">
        <v>299000</v>
      </c>
      <c r="L133" s="125" t="inlineStr">
        <is>
          <t>BRWN</t>
        </is>
      </c>
      <c r="M133" s="258" t="n">
        <v>4</v>
      </c>
      <c r="N133" s="124" t="inlineStr">
        <is>
          <t>MH12ML3408</t>
        </is>
      </c>
      <c r="O133" s="124" t="n">
        <v>3408</v>
      </c>
      <c r="P133" s="258" t="inlineStr">
        <is>
          <t>ABR</t>
        </is>
      </c>
    </row>
    <row r="134" hidden="1" s="268">
      <c r="A134" s="258" t="n">
        <v>166</v>
      </c>
      <c r="B134" s="258">
        <f>B133+1</f>
        <v/>
      </c>
      <c r="C134" s="125" t="inlineStr">
        <is>
          <t>HYUN</t>
        </is>
      </c>
      <c r="D134" s="124" t="inlineStr">
        <is>
          <t>I 20</t>
        </is>
      </c>
      <c r="E134" s="258" t="n">
        <v>2014</v>
      </c>
      <c r="G134" s="125" t="inlineStr">
        <is>
          <t>ASTA VTVT</t>
        </is>
      </c>
      <c r="H134" s="258" t="inlineStr">
        <is>
          <t>P</t>
        </is>
      </c>
      <c r="I134" s="258" t="inlineStr">
        <is>
          <t>M</t>
        </is>
      </c>
      <c r="J134" s="258" t="n">
        <v>3</v>
      </c>
      <c r="K134" s="124" t="n">
        <v>329000</v>
      </c>
      <c r="L134" s="125" t="inlineStr">
        <is>
          <t>BLUE</t>
        </is>
      </c>
      <c r="M134" s="258" t="n">
        <v>33</v>
      </c>
      <c r="N134" s="124" t="inlineStr">
        <is>
          <t>MH43AR6312</t>
        </is>
      </c>
      <c r="O134" s="124" t="n">
        <v>6312</v>
      </c>
      <c r="P134" s="258" t="inlineStr">
        <is>
          <t>WEST</t>
        </is>
      </c>
    </row>
    <row r="135" hidden="1" s="268">
      <c r="A135" s="258" t="n">
        <v>132</v>
      </c>
      <c r="B135" s="258">
        <f>B134+1</f>
        <v/>
      </c>
      <c r="C135" s="125" t="inlineStr">
        <is>
          <t>TOYO</t>
        </is>
      </c>
      <c r="D135" s="124" t="inlineStr">
        <is>
          <t xml:space="preserve">ALTIS </t>
        </is>
      </c>
      <c r="E135" s="258" t="n">
        <v>2012</v>
      </c>
      <c r="G135" s="125" t="inlineStr">
        <is>
          <t>D4D BS1V</t>
        </is>
      </c>
      <c r="H135" s="258" t="inlineStr">
        <is>
          <t>D</t>
        </is>
      </c>
      <c r="I135" s="258" t="inlineStr">
        <is>
          <t>M</t>
        </is>
      </c>
      <c r="J135" s="258" t="n">
        <v>3</v>
      </c>
      <c r="L135" s="125" t="inlineStr">
        <is>
          <t>WHI</t>
        </is>
      </c>
      <c r="M135" s="258" t="n">
        <v>299000</v>
      </c>
      <c r="N135" s="124" t="inlineStr">
        <is>
          <t>MH12JJ7272</t>
        </is>
      </c>
      <c r="O135" s="124" t="n">
        <v>7272</v>
      </c>
      <c r="P135" s="258" t="inlineStr">
        <is>
          <t>M3</t>
        </is>
      </c>
    </row>
    <row r="136" hidden="1" s="268">
      <c r="A136" s="261" t="n">
        <v>7</v>
      </c>
      <c r="B136" s="258">
        <f>B135+1</f>
        <v/>
      </c>
      <c r="C136" s="121" t="inlineStr">
        <is>
          <t>FORD</t>
        </is>
      </c>
      <c r="D136" s="122" t="inlineStr">
        <is>
          <t>ENDEAVOUR</t>
        </is>
      </c>
      <c r="E136" s="261" t="n">
        <v>2012</v>
      </c>
      <c r="F136" s="261" t="n"/>
      <c r="G136" s="121" t="inlineStr">
        <is>
          <t>4 X 4</t>
        </is>
      </c>
      <c r="H136" s="261" t="inlineStr">
        <is>
          <t>D</t>
        </is>
      </c>
      <c r="I136" s="261" t="inlineStr">
        <is>
          <t>A</t>
        </is>
      </c>
      <c r="J136" s="261" t="n">
        <v>1</v>
      </c>
      <c r="K136" s="122" t="n">
        <v>380000</v>
      </c>
      <c r="L136" s="121" t="inlineStr">
        <is>
          <t>BLA</t>
        </is>
      </c>
      <c r="M136" s="261" t="n">
        <v>4</v>
      </c>
      <c r="N136" s="122" t="inlineStr">
        <is>
          <t>MH02CV2777</t>
        </is>
      </c>
      <c r="O136" s="122" t="n">
        <v>2777</v>
      </c>
      <c r="P136" s="261" t="inlineStr">
        <is>
          <t>WEST</t>
        </is>
      </c>
    </row>
    <row r="137" hidden="1" s="268">
      <c r="A137" s="261" t="n">
        <v>1</v>
      </c>
      <c r="B137" s="261" t="n">
        <v>1</v>
      </c>
      <c r="C137" s="121" t="inlineStr">
        <is>
          <t xml:space="preserve">AUDI </t>
        </is>
      </c>
      <c r="D137" s="122" t="inlineStr">
        <is>
          <t>Q5</t>
        </is>
      </c>
      <c r="E137" s="261" t="inlineStr">
        <is>
          <t>2010/30</t>
        </is>
      </c>
      <c r="F137" s="261" t="n"/>
      <c r="G137" s="121" t="n"/>
      <c r="H137" s="261" t="inlineStr">
        <is>
          <t>P</t>
        </is>
      </c>
      <c r="I137" s="261" t="inlineStr">
        <is>
          <t>A</t>
        </is>
      </c>
      <c r="J137" s="261" t="n">
        <v>3</v>
      </c>
      <c r="K137" s="122" t="n">
        <v>445000</v>
      </c>
      <c r="L137" s="121" t="inlineStr">
        <is>
          <t>GREY</t>
        </is>
      </c>
      <c r="M137" s="261" t="n">
        <v>4</v>
      </c>
      <c r="N137" s="122" t="inlineStr">
        <is>
          <t>MH02BT6060</t>
        </is>
      </c>
      <c r="O137" s="122" t="n">
        <v>6060</v>
      </c>
      <c r="P137" s="261" t="inlineStr">
        <is>
          <t>ABR</t>
        </is>
      </c>
    </row>
    <row r="138" hidden="1" s="268">
      <c r="A138" s="258" t="n">
        <v>135</v>
      </c>
      <c r="B138" s="258">
        <f>B137+1</f>
        <v/>
      </c>
      <c r="C138" s="121" t="inlineStr">
        <is>
          <t>TOYO</t>
        </is>
      </c>
      <c r="D138" s="122" t="inlineStr">
        <is>
          <t>ALTIS</t>
        </is>
      </c>
      <c r="E138" s="261" t="n">
        <v>2015</v>
      </c>
      <c r="F138" s="261" t="n"/>
      <c r="G138" s="121" t="inlineStr">
        <is>
          <t>G</t>
        </is>
      </c>
      <c r="H138" s="261" t="inlineStr">
        <is>
          <t>P</t>
        </is>
      </c>
      <c r="I138" s="261" t="inlineStr">
        <is>
          <t>M</t>
        </is>
      </c>
      <c r="J138" s="261" t="n">
        <v>2</v>
      </c>
      <c r="K138" s="122" t="n"/>
      <c r="L138" s="121" t="inlineStr">
        <is>
          <t>GRE</t>
        </is>
      </c>
      <c r="M138" s="261" t="n">
        <v>545000</v>
      </c>
      <c r="N138" s="122" t="inlineStr">
        <is>
          <t>MH01BY9978</t>
        </is>
      </c>
      <c r="O138" s="122" t="n">
        <v>9978</v>
      </c>
      <c r="P138" s="261" t="inlineStr">
        <is>
          <t>W6</t>
        </is>
      </c>
    </row>
    <row r="139" hidden="1" s="268">
      <c r="A139" s="126" t="n">
        <v>136</v>
      </c>
      <c r="B139" s="258">
        <f>B138+1</f>
        <v/>
      </c>
      <c r="C139" s="147" t="inlineStr">
        <is>
          <t>TOYO</t>
        </is>
      </c>
      <c r="D139" s="133" t="inlineStr">
        <is>
          <t>ALTIS</t>
        </is>
      </c>
      <c r="E139" s="259" t="n">
        <v>2015</v>
      </c>
      <c r="F139" s="259" t="n"/>
      <c r="G139" s="147" t="inlineStr">
        <is>
          <t>VL</t>
        </is>
      </c>
      <c r="H139" s="259" t="inlineStr">
        <is>
          <t>P</t>
        </is>
      </c>
      <c r="I139" s="259" t="inlineStr">
        <is>
          <t>A</t>
        </is>
      </c>
      <c r="J139" s="259" t="n">
        <v>2</v>
      </c>
      <c r="K139" s="133" t="n"/>
      <c r="L139" s="147" t="inlineStr">
        <is>
          <t>SIL</t>
        </is>
      </c>
      <c r="M139" s="259" t="n">
        <v>545000</v>
      </c>
      <c r="N139" s="133" t="inlineStr">
        <is>
          <t>MH02DW8734</t>
        </is>
      </c>
      <c r="O139" s="133" t="n">
        <v>8734</v>
      </c>
      <c r="P139" s="259" t="inlineStr">
        <is>
          <t xml:space="preserve">POLISH </t>
        </is>
      </c>
    </row>
    <row r="140" hidden="1" s="268">
      <c r="A140" s="258" t="n">
        <v>137</v>
      </c>
      <c r="B140" s="258">
        <f>B139+1</f>
        <v/>
      </c>
      <c r="C140" s="121" t="inlineStr">
        <is>
          <t>TOYO</t>
        </is>
      </c>
      <c r="D140" s="122" t="inlineStr">
        <is>
          <t>ALTIS</t>
        </is>
      </c>
      <c r="E140" s="261" t="n">
        <v>2016</v>
      </c>
      <c r="F140" s="261" t="n"/>
      <c r="G140" s="121" t="inlineStr">
        <is>
          <t>GL</t>
        </is>
      </c>
      <c r="H140" s="261" t="inlineStr">
        <is>
          <t>P</t>
        </is>
      </c>
      <c r="I140" s="261" t="inlineStr">
        <is>
          <t>M</t>
        </is>
      </c>
      <c r="J140" s="261" t="n">
        <v>2</v>
      </c>
      <c r="K140" s="122" t="n"/>
      <c r="L140" s="121" t="inlineStr">
        <is>
          <t>GRE</t>
        </is>
      </c>
      <c r="M140" s="261" t="n">
        <v>649000</v>
      </c>
      <c r="N140" s="122" t="inlineStr">
        <is>
          <t>MH20DV2642</t>
        </is>
      </c>
      <c r="O140" s="122" t="n">
        <v>2642</v>
      </c>
      <c r="P140" s="261" t="inlineStr">
        <is>
          <t>T5</t>
        </is>
      </c>
    </row>
    <row r="141" hidden="1" s="268">
      <c r="A141" s="258" t="n">
        <v>138</v>
      </c>
      <c r="B141" s="258">
        <f>B140+1</f>
        <v/>
      </c>
      <c r="C141" s="121" t="inlineStr">
        <is>
          <t>TOYO</t>
        </is>
      </c>
      <c r="D141" s="122" t="inlineStr">
        <is>
          <t>ALTIS</t>
        </is>
      </c>
      <c r="E141" s="261" t="n">
        <v>2017</v>
      </c>
      <c r="F141" s="261" t="n"/>
      <c r="G141" s="121" t="inlineStr">
        <is>
          <t>G</t>
        </is>
      </c>
      <c r="H141" s="261" t="inlineStr">
        <is>
          <t>P</t>
        </is>
      </c>
      <c r="I141" s="261" t="inlineStr">
        <is>
          <t>M</t>
        </is>
      </c>
      <c r="J141" s="261" t="n">
        <v>1</v>
      </c>
      <c r="K141" s="122" t="n"/>
      <c r="L141" s="121" t="inlineStr">
        <is>
          <t>GOL</t>
        </is>
      </c>
      <c r="M141" s="261" t="n">
        <v>599000</v>
      </c>
      <c r="N141" s="122" t="inlineStr">
        <is>
          <t>MH04HX5380</t>
        </is>
      </c>
      <c r="O141" s="122" t="n">
        <v>5380</v>
      </c>
      <c r="P141" s="261" t="inlineStr">
        <is>
          <t>T1</t>
        </is>
      </c>
    </row>
    <row r="142" hidden="1" s="268">
      <c r="A142" s="258" t="n">
        <v>139</v>
      </c>
      <c r="B142" s="258">
        <f>B141+1</f>
        <v/>
      </c>
      <c r="C142" s="125" t="inlineStr">
        <is>
          <t>TOYO</t>
        </is>
      </c>
      <c r="D142" s="124" t="inlineStr">
        <is>
          <t>ETIOS</t>
        </is>
      </c>
      <c r="E142" s="258" t="n">
        <v>2011</v>
      </c>
      <c r="G142" s="125" t="inlineStr">
        <is>
          <t>G</t>
        </is>
      </c>
      <c r="H142" s="258" t="inlineStr">
        <is>
          <t>P</t>
        </is>
      </c>
      <c r="I142" s="258" t="inlineStr">
        <is>
          <t>M</t>
        </is>
      </c>
      <c r="J142" s="258" t="n">
        <v>3</v>
      </c>
      <c r="L142" s="250" t="inlineStr">
        <is>
          <t>WHI</t>
        </is>
      </c>
      <c r="M142" s="258" t="n">
        <v>189000</v>
      </c>
      <c r="N142" s="124" t="inlineStr">
        <is>
          <t>MH04EX5711</t>
        </is>
      </c>
      <c r="O142" s="124" t="n">
        <v>5711</v>
      </c>
      <c r="P142" s="258" t="inlineStr">
        <is>
          <t>N2</t>
        </is>
      </c>
    </row>
    <row r="143" hidden="1" s="268">
      <c r="A143" s="258" t="n">
        <v>140</v>
      </c>
      <c r="B143" s="258">
        <f>B142+1</f>
        <v/>
      </c>
      <c r="C143" s="121" t="inlineStr">
        <is>
          <t>TOYO</t>
        </is>
      </c>
      <c r="D143" s="122" t="inlineStr">
        <is>
          <t>ETIOS</t>
        </is>
      </c>
      <c r="E143" s="261" t="n">
        <v>2011</v>
      </c>
      <c r="F143" s="261" t="n"/>
      <c r="G143" s="121" t="inlineStr">
        <is>
          <t>V</t>
        </is>
      </c>
      <c r="H143" s="261" t="inlineStr">
        <is>
          <t>CR</t>
        </is>
      </c>
      <c r="I143" s="261" t="inlineStr">
        <is>
          <t>M</t>
        </is>
      </c>
      <c r="J143" s="261" t="n">
        <v>2</v>
      </c>
      <c r="K143" s="122" t="n">
        <v>4</v>
      </c>
      <c r="L143" s="121" t="inlineStr">
        <is>
          <t>SIL</t>
        </is>
      </c>
      <c r="M143" s="261" t="n">
        <v>175000</v>
      </c>
      <c r="N143" s="122" t="inlineStr">
        <is>
          <t>MH02CH0568</t>
        </is>
      </c>
      <c r="O143" s="122" t="n">
        <v>568</v>
      </c>
      <c r="P143" s="261" t="inlineStr">
        <is>
          <t>U1</t>
        </is>
      </c>
    </row>
    <row r="144" hidden="1" s="268">
      <c r="A144" s="262" t="n">
        <v>141</v>
      </c>
      <c r="B144" s="258">
        <f>B143+1</f>
        <v/>
      </c>
      <c r="C144" s="263" t="inlineStr">
        <is>
          <t>TOYO</t>
        </is>
      </c>
      <c r="D144" s="264" t="inlineStr">
        <is>
          <t>ETIOS</t>
        </is>
      </c>
      <c r="E144" s="262" t="n">
        <v>2012</v>
      </c>
      <c r="F144" s="262" t="n"/>
      <c r="G144" s="263" t="inlineStr">
        <is>
          <t>LIVA</t>
        </is>
      </c>
      <c r="H144" s="262" t="inlineStr">
        <is>
          <t>P</t>
        </is>
      </c>
      <c r="I144" s="262" t="inlineStr">
        <is>
          <t>M</t>
        </is>
      </c>
      <c r="J144" s="262" t="n">
        <v>3</v>
      </c>
      <c r="K144" s="264" t="n"/>
      <c r="L144" s="263" t="inlineStr">
        <is>
          <t>SIL</t>
        </is>
      </c>
      <c r="M144" s="262" t="n">
        <v>229000</v>
      </c>
      <c r="N144" s="264" t="inlineStr">
        <is>
          <t>MH02CL5672</t>
        </is>
      </c>
      <c r="O144" s="264" t="n">
        <v>5672</v>
      </c>
      <c r="P144" s="262" t="inlineStr">
        <is>
          <t>W3</t>
        </is>
      </c>
    </row>
    <row r="145" hidden="1" s="268">
      <c r="A145" s="258" t="n">
        <v>142</v>
      </c>
      <c r="B145" s="258">
        <f>B144+1</f>
        <v/>
      </c>
      <c r="C145" s="125" t="inlineStr">
        <is>
          <t>TOYO</t>
        </is>
      </c>
      <c r="D145" s="124" t="inlineStr">
        <is>
          <t>ETIOS</t>
        </is>
      </c>
      <c r="E145" s="258" t="n">
        <v>2012</v>
      </c>
      <c r="G145" s="125" t="inlineStr">
        <is>
          <t>GD</t>
        </is>
      </c>
      <c r="H145" s="258" t="inlineStr">
        <is>
          <t>D</t>
        </is>
      </c>
      <c r="I145" s="258" t="inlineStr">
        <is>
          <t>M</t>
        </is>
      </c>
      <c r="J145" s="258" t="n">
        <v>3</v>
      </c>
      <c r="L145" s="125" t="inlineStr">
        <is>
          <t>GOLD</t>
        </is>
      </c>
      <c r="M145" s="258" t="n">
        <v>249000</v>
      </c>
      <c r="N145" s="124" t="inlineStr">
        <is>
          <t>MH02CV2820</t>
        </is>
      </c>
      <c r="O145" s="124" t="n">
        <v>2820</v>
      </c>
      <c r="P145" s="258" t="inlineStr">
        <is>
          <t>L98</t>
        </is>
      </c>
    </row>
    <row r="146" hidden="1" s="268">
      <c r="A146" s="258" t="n">
        <v>143</v>
      </c>
      <c r="B146" s="258">
        <f>B145+1</f>
        <v/>
      </c>
      <c r="C146" s="125" t="inlineStr">
        <is>
          <t>TOYO</t>
        </is>
      </c>
      <c r="D146" s="124" t="inlineStr">
        <is>
          <t>ETIOS</t>
        </is>
      </c>
      <c r="E146" s="258" t="n">
        <v>2013</v>
      </c>
      <c r="F146" s="254" t="inlineStr">
        <is>
          <t>DEC</t>
        </is>
      </c>
      <c r="G146" s="125" t="inlineStr">
        <is>
          <t>LIVA VX</t>
        </is>
      </c>
      <c r="H146" s="258" t="inlineStr">
        <is>
          <t>P</t>
        </is>
      </c>
      <c r="I146" s="258" t="inlineStr">
        <is>
          <t>M</t>
        </is>
      </c>
      <c r="J146" s="258" t="n">
        <v>2</v>
      </c>
      <c r="L146" s="125" t="inlineStr">
        <is>
          <t>SIL</t>
        </is>
      </c>
      <c r="M146" s="258" t="n">
        <v>249000</v>
      </c>
      <c r="N146" s="124" t="inlineStr">
        <is>
          <t>MH05BL5428</t>
        </is>
      </c>
      <c r="O146" s="124" t="n">
        <v>5428</v>
      </c>
      <c r="P146" s="258" t="inlineStr">
        <is>
          <t>W4</t>
        </is>
      </c>
    </row>
    <row r="147" hidden="1" s="268">
      <c r="A147" s="258" t="n">
        <v>144</v>
      </c>
      <c r="B147" s="258">
        <f>B146+1</f>
        <v/>
      </c>
      <c r="C147" s="125" t="inlineStr">
        <is>
          <t>TOYO</t>
        </is>
      </c>
      <c r="D147" s="124" t="inlineStr">
        <is>
          <t>YARIS</t>
        </is>
      </c>
      <c r="E147" s="258" t="n">
        <v>2018</v>
      </c>
      <c r="G147" s="125" t="inlineStr">
        <is>
          <t>1.5 G CVT</t>
        </is>
      </c>
      <c r="H147" s="258" t="inlineStr">
        <is>
          <t>P</t>
        </is>
      </c>
      <c r="I147" s="258" t="inlineStr">
        <is>
          <t>A</t>
        </is>
      </c>
      <c r="J147" s="258" t="n">
        <v>1</v>
      </c>
      <c r="L147" s="125" t="inlineStr">
        <is>
          <t>SIL</t>
        </is>
      </c>
      <c r="M147" s="258" t="n">
        <v>499000</v>
      </c>
      <c r="N147" s="124" t="inlineStr">
        <is>
          <t>MH12QM0294</t>
        </is>
      </c>
      <c r="O147" s="124" t="n">
        <v>294</v>
      </c>
      <c r="P147" s="258" t="inlineStr">
        <is>
          <t>Z1</t>
        </is>
      </c>
    </row>
    <row r="148" hidden="1" s="268">
      <c r="A148" s="258" t="n">
        <v>145</v>
      </c>
      <c r="B148" s="258">
        <f>B147+1</f>
        <v/>
      </c>
      <c r="C148" s="125" t="inlineStr">
        <is>
          <t>TOYO</t>
        </is>
      </c>
      <c r="D148" s="124" t="inlineStr">
        <is>
          <t>YARIS</t>
        </is>
      </c>
      <c r="E148" s="258" t="n">
        <v>2020</v>
      </c>
      <c r="G148" s="125" t="inlineStr">
        <is>
          <t>1.5 V</t>
        </is>
      </c>
      <c r="H148" s="258" t="inlineStr">
        <is>
          <t>P</t>
        </is>
      </c>
      <c r="I148" s="258" t="inlineStr">
        <is>
          <t>M</t>
        </is>
      </c>
      <c r="J148" s="258" t="n">
        <v>2</v>
      </c>
      <c r="L148" s="125" t="inlineStr">
        <is>
          <t>GREY</t>
        </is>
      </c>
      <c r="M148" s="258" t="n">
        <v>629000</v>
      </c>
      <c r="N148" s="124" t="inlineStr">
        <is>
          <t>MH12SL6877</t>
        </is>
      </c>
      <c r="O148" s="124" t="n">
        <v>6877</v>
      </c>
      <c r="P148" s="258" t="inlineStr">
        <is>
          <t>T2</t>
        </is>
      </c>
    </row>
    <row r="149" hidden="1" s="268">
      <c r="A149" s="258" t="n">
        <v>146</v>
      </c>
      <c r="B149" s="258">
        <f>B148+1</f>
        <v/>
      </c>
      <c r="C149" s="125" t="inlineStr">
        <is>
          <t>VOX</t>
        </is>
      </c>
      <c r="D149" s="124" t="inlineStr">
        <is>
          <t>AMEO</t>
        </is>
      </c>
      <c r="E149" s="258" t="n">
        <v>2016</v>
      </c>
      <c r="H149" s="258" t="inlineStr">
        <is>
          <t>PC</t>
        </is>
      </c>
      <c r="I149" s="258" t="inlineStr">
        <is>
          <t>M</t>
        </is>
      </c>
      <c r="J149" s="258" t="n">
        <v>1</v>
      </c>
      <c r="L149" s="125" t="inlineStr">
        <is>
          <t>GREY</t>
        </is>
      </c>
      <c r="M149" s="258" t="n">
        <v>299000</v>
      </c>
      <c r="N149" s="124" t="inlineStr">
        <is>
          <t>MH46AX0260</t>
        </is>
      </c>
      <c r="O149" s="124" t="n">
        <v>260</v>
      </c>
      <c r="P149" s="258" t="inlineStr">
        <is>
          <t>Z1</t>
        </is>
      </c>
    </row>
    <row r="150" hidden="1" s="268">
      <c r="A150" s="258" t="n">
        <v>147</v>
      </c>
      <c r="B150" s="258">
        <f>B149+1</f>
        <v/>
      </c>
      <c r="C150" s="121" t="inlineStr">
        <is>
          <t>VOX</t>
        </is>
      </c>
      <c r="D150" s="122" t="inlineStr">
        <is>
          <t>VENTO</t>
        </is>
      </c>
      <c r="E150" s="261" t="n">
        <v>2010</v>
      </c>
      <c r="F150" s="261" t="n"/>
      <c r="G150" s="121" t="inlineStr">
        <is>
          <t>1.6 HIGH</t>
        </is>
      </c>
      <c r="H150" s="261" t="inlineStr">
        <is>
          <t>P</t>
        </is>
      </c>
      <c r="I150" s="261" t="inlineStr">
        <is>
          <t>M</t>
        </is>
      </c>
      <c r="J150" s="261" t="n">
        <v>2</v>
      </c>
      <c r="K150" s="122" t="n"/>
      <c r="L150" s="121" t="inlineStr">
        <is>
          <t>SIL</t>
        </is>
      </c>
      <c r="M150" s="261" t="n">
        <v>199000</v>
      </c>
      <c r="N150" s="122" t="inlineStr">
        <is>
          <t>MH01AV5828</t>
        </is>
      </c>
      <c r="O150" s="122" t="n">
        <v>5828</v>
      </c>
      <c r="P150" s="261" t="inlineStr">
        <is>
          <t>L8</t>
        </is>
      </c>
    </row>
    <row r="151" hidden="1" s="268">
      <c r="A151" s="258" t="n">
        <v>148</v>
      </c>
      <c r="B151" s="258">
        <f>B150+1</f>
        <v/>
      </c>
      <c r="C151" s="121" t="inlineStr">
        <is>
          <t>VOX</t>
        </is>
      </c>
      <c r="D151" s="122" t="inlineStr">
        <is>
          <t>VENTO</t>
        </is>
      </c>
      <c r="E151" s="261" t="n">
        <v>2011</v>
      </c>
      <c r="F151" s="261" t="n"/>
      <c r="G151" s="121" t="inlineStr">
        <is>
          <t>VENTO</t>
        </is>
      </c>
      <c r="H151" s="261" t="inlineStr">
        <is>
          <t>PC</t>
        </is>
      </c>
      <c r="I151" s="261" t="inlineStr">
        <is>
          <t>M</t>
        </is>
      </c>
      <c r="J151" s="261" t="n">
        <v>3</v>
      </c>
      <c r="K151" s="122" t="n"/>
      <c r="L151" s="121" t="inlineStr">
        <is>
          <t>BLACK</t>
        </is>
      </c>
      <c r="M151" s="261" t="n">
        <v>210000</v>
      </c>
      <c r="N151" s="122" t="inlineStr">
        <is>
          <t>MH01BB2334</t>
        </is>
      </c>
      <c r="O151" s="122" t="n">
        <v>2334</v>
      </c>
      <c r="P151" s="261" t="inlineStr">
        <is>
          <t>Y4</t>
        </is>
      </c>
    </row>
    <row r="152" hidden="1" s="268">
      <c r="A152" s="258" t="n">
        <v>98</v>
      </c>
      <c r="B152" s="258">
        <f>B151+1</f>
        <v/>
      </c>
      <c r="C152" s="125" t="inlineStr">
        <is>
          <t>HOND</t>
        </is>
      </c>
      <c r="D152" s="124" t="inlineStr">
        <is>
          <t>CITY</t>
        </is>
      </c>
      <c r="E152" s="258" t="n">
        <v>2015</v>
      </c>
      <c r="G152" s="125" t="inlineStr">
        <is>
          <t>1.5 SVMT</t>
        </is>
      </c>
      <c r="H152" s="258" t="inlineStr">
        <is>
          <t>D</t>
        </is>
      </c>
      <c r="I152" s="258" t="inlineStr">
        <is>
          <t>M</t>
        </is>
      </c>
      <c r="J152" s="258" t="n">
        <v>2</v>
      </c>
      <c r="K152" s="124" t="n">
        <v>449000</v>
      </c>
      <c r="L152" s="125" t="inlineStr">
        <is>
          <t>SILVER</t>
        </is>
      </c>
      <c r="M152" s="258" t="n">
        <v>4</v>
      </c>
      <c r="N152" s="124" t="inlineStr">
        <is>
          <t>MH02DW8169</t>
        </is>
      </c>
      <c r="O152" s="124" t="n">
        <v>8169</v>
      </c>
      <c r="P152" s="258" t="inlineStr">
        <is>
          <t>S8</t>
        </is>
      </c>
    </row>
    <row r="153" hidden="1" customFormat="1" s="127">
      <c r="A153" s="258" t="n">
        <v>150</v>
      </c>
      <c r="B153" s="258">
        <f>B152+1</f>
        <v/>
      </c>
      <c r="C153" s="125" t="inlineStr">
        <is>
          <t>VOX</t>
        </is>
      </c>
      <c r="D153" s="124" t="inlineStr">
        <is>
          <t>VENTO</t>
        </is>
      </c>
      <c r="E153" s="258" t="n">
        <v>2011</v>
      </c>
      <c r="F153" s="258" t="n"/>
      <c r="G153" s="125" t="inlineStr">
        <is>
          <t>1.6 CR</t>
        </is>
      </c>
      <c r="H153" s="258" t="inlineStr">
        <is>
          <t>PC</t>
        </is>
      </c>
      <c r="I153" s="258" t="inlineStr">
        <is>
          <t>M</t>
        </is>
      </c>
      <c r="J153" s="258" t="n">
        <v>2</v>
      </c>
      <c r="K153" s="124" t="n"/>
      <c r="L153" s="125" t="inlineStr">
        <is>
          <t>SILVER</t>
        </is>
      </c>
      <c r="M153" s="258" t="n">
        <v>215000</v>
      </c>
      <c r="N153" s="124" t="inlineStr">
        <is>
          <t>MH02CB0763</t>
        </is>
      </c>
      <c r="O153" s="124" t="n">
        <v>763</v>
      </c>
      <c r="P153" s="258" t="inlineStr">
        <is>
          <t>S6</t>
        </is>
      </c>
    </row>
    <row r="154" hidden="1" s="268">
      <c r="A154" s="261" t="n">
        <v>57</v>
      </c>
      <c r="B154" s="258">
        <f>B153+1</f>
        <v/>
      </c>
      <c r="C154" s="121" t="inlineStr">
        <is>
          <t>TATA</t>
        </is>
      </c>
      <c r="D154" s="122" t="inlineStr">
        <is>
          <t>NEXON</t>
        </is>
      </c>
      <c r="E154" s="261" t="n">
        <v>2021</v>
      </c>
      <c r="F154" s="261" t="n"/>
      <c r="G154" s="121" t="inlineStr">
        <is>
          <t>ZX+</t>
        </is>
      </c>
      <c r="H154" s="261" t="inlineStr">
        <is>
          <t>E</t>
        </is>
      </c>
      <c r="I154" s="261" t="inlineStr">
        <is>
          <t>A</t>
        </is>
      </c>
      <c r="J154" s="261" t="n">
        <v>2</v>
      </c>
      <c r="K154" s="122" t="n">
        <v>499000</v>
      </c>
      <c r="L154" s="121" t="inlineStr">
        <is>
          <t>BLUE</t>
        </is>
      </c>
      <c r="M154" s="261" t="n">
        <v>4</v>
      </c>
      <c r="N154" s="122" t="inlineStr">
        <is>
          <t>MH46BV7511</t>
        </is>
      </c>
      <c r="O154" s="122" t="n">
        <v>7511</v>
      </c>
      <c r="P154" s="261" t="inlineStr">
        <is>
          <t>Y1</t>
        </is>
      </c>
    </row>
    <row r="155" hidden="1" s="268">
      <c r="A155" s="258" t="n">
        <v>152</v>
      </c>
      <c r="B155" s="258">
        <f>B154+1</f>
        <v/>
      </c>
      <c r="C155" s="125" t="inlineStr">
        <is>
          <t>HOND</t>
        </is>
      </c>
      <c r="D155" s="124" t="inlineStr">
        <is>
          <t>BRIO</t>
        </is>
      </c>
      <c r="E155" s="258" t="n">
        <v>2013</v>
      </c>
      <c r="G155" s="125" t="inlineStr">
        <is>
          <t>1.2S MT</t>
        </is>
      </c>
      <c r="H155" s="258" t="inlineStr">
        <is>
          <t>P</t>
        </is>
      </c>
      <c r="I155" s="258" t="inlineStr">
        <is>
          <t>M</t>
        </is>
      </c>
      <c r="J155" s="258" t="n">
        <v>2</v>
      </c>
      <c r="L155" s="125" t="inlineStr">
        <is>
          <t>SILVER</t>
        </is>
      </c>
      <c r="M155" s="258" t="n">
        <v>179000</v>
      </c>
      <c r="N155" s="124" t="inlineStr">
        <is>
          <t>MH02CV8921</t>
        </is>
      </c>
      <c r="O155" s="124" t="n">
        <v>8921</v>
      </c>
      <c r="P155" s="258" t="inlineStr">
        <is>
          <t>Y6</t>
        </is>
      </c>
    </row>
    <row r="156" hidden="1" s="268">
      <c r="A156" s="258" t="n">
        <v>153</v>
      </c>
      <c r="B156" s="258">
        <f>B155+1</f>
        <v/>
      </c>
      <c r="C156" s="125" t="inlineStr">
        <is>
          <t>HOND</t>
        </is>
      </c>
      <c r="D156" s="124" t="inlineStr">
        <is>
          <t>JAZZ</t>
        </is>
      </c>
      <c r="E156" s="258" t="inlineStr">
        <is>
          <t>2009/30</t>
        </is>
      </c>
      <c r="F156" s="258" t="inlineStr">
        <is>
          <t>DEC</t>
        </is>
      </c>
      <c r="G156" s="125" t="inlineStr">
        <is>
          <t>SMT</t>
        </is>
      </c>
      <c r="H156" s="258" t="inlineStr">
        <is>
          <t>P</t>
        </is>
      </c>
      <c r="I156" s="258" t="inlineStr">
        <is>
          <t>M</t>
        </is>
      </c>
      <c r="J156" s="258" t="n">
        <v>2</v>
      </c>
      <c r="L156" s="125" t="inlineStr">
        <is>
          <t>BLUE</t>
        </is>
      </c>
      <c r="M156" s="258" t="n">
        <v>139000</v>
      </c>
      <c r="N156" s="124" t="inlineStr">
        <is>
          <t>MH05AS0290</t>
        </is>
      </c>
      <c r="O156" s="124" t="n">
        <v>290</v>
      </c>
      <c r="P156" s="258" t="inlineStr">
        <is>
          <t>U8</t>
        </is>
      </c>
    </row>
    <row r="157" hidden="1" s="268">
      <c r="A157" s="258" t="n">
        <v>77</v>
      </c>
      <c r="B157" s="258">
        <f>B156+1</f>
        <v/>
      </c>
      <c r="C157" s="125" t="inlineStr">
        <is>
          <t>MERC</t>
        </is>
      </c>
      <c r="D157" s="124" t="inlineStr">
        <is>
          <t>C CLASS</t>
        </is>
      </c>
      <c r="E157" s="258" t="inlineStr">
        <is>
          <t>2012/12</t>
        </is>
      </c>
      <c r="G157" s="125" t="inlineStr">
        <is>
          <t>C200</t>
        </is>
      </c>
      <c r="H157" s="258" t="inlineStr">
        <is>
          <t>P</t>
        </is>
      </c>
      <c r="I157" s="258" t="inlineStr">
        <is>
          <t>A</t>
        </is>
      </c>
      <c r="J157" s="258" t="n">
        <v>2</v>
      </c>
      <c r="K157" s="124" t="n">
        <v>525000</v>
      </c>
      <c r="L157" s="125" t="inlineStr">
        <is>
          <t>WHI</t>
        </is>
      </c>
      <c r="M157" s="258" t="n">
        <v>33</v>
      </c>
      <c r="N157" s="124" t="inlineStr">
        <is>
          <t>MH14DT4284</t>
        </is>
      </c>
      <c r="O157" s="124" t="n">
        <v>4284</v>
      </c>
      <c r="P157" s="258" t="inlineStr">
        <is>
          <t>IMM</t>
        </is>
      </c>
    </row>
    <row r="158" hidden="1" s="268">
      <c r="A158" s="258" t="n">
        <v>155</v>
      </c>
      <c r="B158" s="258">
        <f>B157+1</f>
        <v/>
      </c>
      <c r="C158" s="121" t="inlineStr">
        <is>
          <t>HOND</t>
        </is>
      </c>
      <c r="D158" s="122" t="inlineStr">
        <is>
          <t>JAZZ</t>
        </is>
      </c>
      <c r="E158" s="261" t="n">
        <v>2016</v>
      </c>
      <c r="F158" s="261" t="n"/>
      <c r="G158" s="121" t="inlineStr">
        <is>
          <t>SV</t>
        </is>
      </c>
      <c r="H158" s="261" t="inlineStr">
        <is>
          <t>P</t>
        </is>
      </c>
      <c r="I158" s="261" t="inlineStr">
        <is>
          <t>M</t>
        </is>
      </c>
      <c r="J158" s="261" t="n">
        <v>2</v>
      </c>
      <c r="K158" s="122" t="n"/>
      <c r="L158" s="121" t="inlineStr">
        <is>
          <t>RED</t>
        </is>
      </c>
      <c r="M158" s="261" t="n">
        <v>279000</v>
      </c>
      <c r="N158" s="122" t="inlineStr">
        <is>
          <t>MH46AU7579</t>
        </is>
      </c>
      <c r="O158" s="122" t="n">
        <v>7579</v>
      </c>
      <c r="P158" s="261" t="inlineStr">
        <is>
          <t>N4</t>
        </is>
      </c>
    </row>
    <row r="159" hidden="1" s="268">
      <c r="A159" s="262" t="n">
        <v>156</v>
      </c>
      <c r="B159" s="258">
        <f>B158+1</f>
        <v/>
      </c>
      <c r="C159" s="263" t="inlineStr">
        <is>
          <t>HYUN</t>
        </is>
      </c>
      <c r="D159" s="264" t="inlineStr">
        <is>
          <t>SANTRO</t>
        </is>
      </c>
      <c r="E159" s="262" t="n">
        <v>2019</v>
      </c>
      <c r="F159" s="262" t="inlineStr">
        <is>
          <t>MAY</t>
        </is>
      </c>
      <c r="G159" s="263" t="inlineStr">
        <is>
          <t>1.1 MT SPORT</t>
        </is>
      </c>
      <c r="H159" s="262" t="inlineStr">
        <is>
          <t>CR</t>
        </is>
      </c>
      <c r="I159" s="262" t="inlineStr">
        <is>
          <t>M</t>
        </is>
      </c>
      <c r="J159" s="262" t="n">
        <v>1</v>
      </c>
      <c r="K159" s="264" t="n"/>
      <c r="L159" s="263" t="inlineStr">
        <is>
          <t>BLUE</t>
        </is>
      </c>
      <c r="M159" s="262" t="n">
        <v>269000</v>
      </c>
      <c r="N159" s="264" t="inlineStr">
        <is>
          <t>MH03DG0675</t>
        </is>
      </c>
      <c r="O159" s="264" t="n">
        <v>675</v>
      </c>
      <c r="P159" s="262" t="inlineStr">
        <is>
          <t>L7</t>
        </is>
      </c>
    </row>
    <row r="160" hidden="1" s="268">
      <c r="A160" s="258" t="n">
        <v>157</v>
      </c>
      <c r="B160" s="258">
        <f>B159+1</f>
        <v/>
      </c>
      <c r="C160" s="125" t="inlineStr">
        <is>
          <t>HYUN</t>
        </is>
      </c>
      <c r="D160" s="122" t="inlineStr">
        <is>
          <t>I 10</t>
        </is>
      </c>
      <c r="E160" s="261" t="inlineStr">
        <is>
          <t>2009/04</t>
        </is>
      </c>
      <c r="F160" s="261" t="n"/>
      <c r="G160" s="121" t="inlineStr">
        <is>
          <t>ERA</t>
        </is>
      </c>
      <c r="H160" s="261" t="inlineStr">
        <is>
          <t>P</t>
        </is>
      </c>
      <c r="I160" s="261" t="inlineStr">
        <is>
          <t>M</t>
        </is>
      </c>
      <c r="J160" s="261" t="n">
        <v>1</v>
      </c>
      <c r="K160" s="122" t="n"/>
      <c r="L160" s="121" t="inlineStr">
        <is>
          <t>RED</t>
        </is>
      </c>
      <c r="M160" s="261" t="n">
        <v>99000</v>
      </c>
      <c r="N160" s="122" t="inlineStr">
        <is>
          <t>MH04DW9270</t>
        </is>
      </c>
      <c r="O160" s="122" t="n">
        <v>9270</v>
      </c>
      <c r="P160" s="261" t="inlineStr">
        <is>
          <t>L5</t>
        </is>
      </c>
    </row>
    <row r="161" hidden="1" s="268">
      <c r="A161" s="258" t="n">
        <v>158</v>
      </c>
      <c r="B161" s="258">
        <f>B160+1</f>
        <v/>
      </c>
      <c r="C161" s="125" t="inlineStr">
        <is>
          <t>HYUN</t>
        </is>
      </c>
      <c r="D161" s="122" t="inlineStr">
        <is>
          <t>I 10</t>
        </is>
      </c>
      <c r="E161" s="258" t="inlineStr">
        <is>
          <t>2011/26</t>
        </is>
      </c>
      <c r="G161" s="125" t="inlineStr">
        <is>
          <t>SPORT 1.2</t>
        </is>
      </c>
      <c r="H161" s="258" t="inlineStr">
        <is>
          <t>P</t>
        </is>
      </c>
      <c r="I161" s="258" t="inlineStr">
        <is>
          <t>M</t>
        </is>
      </c>
      <c r="J161" s="258" t="n">
        <v>2</v>
      </c>
      <c r="L161" s="125" t="inlineStr">
        <is>
          <t>RED</t>
        </is>
      </c>
      <c r="M161" s="258" t="n">
        <v>149000</v>
      </c>
      <c r="N161" s="124" t="inlineStr">
        <is>
          <t>MH03AZ7233</t>
        </is>
      </c>
      <c r="O161" s="124" t="n">
        <v>7233</v>
      </c>
      <c r="P161" s="258" t="inlineStr">
        <is>
          <t>U5</t>
        </is>
      </c>
    </row>
    <row r="162" hidden="1" s="268">
      <c r="A162" s="258" t="n">
        <v>159</v>
      </c>
      <c r="B162" s="258">
        <f>B161+1</f>
        <v/>
      </c>
      <c r="C162" s="125" t="inlineStr">
        <is>
          <t>HYUN</t>
        </is>
      </c>
      <c r="D162" s="122" t="inlineStr">
        <is>
          <t>I 10</t>
        </is>
      </c>
      <c r="E162" s="258" t="n">
        <v>2012</v>
      </c>
      <c r="G162" s="125" t="inlineStr">
        <is>
          <t xml:space="preserve">BS IV </t>
        </is>
      </c>
      <c r="H162" s="258" t="inlineStr">
        <is>
          <t>P</t>
        </is>
      </c>
      <c r="I162" s="258" t="inlineStr">
        <is>
          <t>M</t>
        </is>
      </c>
      <c r="J162" s="258" t="n">
        <v>3</v>
      </c>
      <c r="L162" s="125" t="inlineStr">
        <is>
          <t>BEIGE</t>
        </is>
      </c>
      <c r="M162" s="258" t="n">
        <v>149000</v>
      </c>
      <c r="N162" s="124" t="inlineStr">
        <is>
          <t>MH01BF3195</t>
        </is>
      </c>
      <c r="O162" s="124" t="n">
        <v>3195</v>
      </c>
      <c r="P162" s="258" t="inlineStr">
        <is>
          <t>WEST</t>
        </is>
      </c>
    </row>
    <row r="163" hidden="1" s="268">
      <c r="A163" s="258" t="n">
        <v>4</v>
      </c>
      <c r="B163" s="258">
        <f>B162+1</f>
        <v/>
      </c>
      <c r="C163" s="125" t="inlineStr">
        <is>
          <t>AUDI</t>
        </is>
      </c>
      <c r="D163" s="124" t="inlineStr">
        <is>
          <t>A4</t>
        </is>
      </c>
      <c r="E163" s="258" t="n">
        <v>2013</v>
      </c>
      <c r="G163" s="125" t="inlineStr">
        <is>
          <t>2.0 TDI M</t>
        </is>
      </c>
      <c r="H163" s="258" t="inlineStr">
        <is>
          <t>D</t>
        </is>
      </c>
      <c r="I163" s="258" t="inlineStr">
        <is>
          <t>A</t>
        </is>
      </c>
      <c r="J163" s="258" t="n">
        <v>3</v>
      </c>
      <c r="K163" s="124" t="n">
        <v>599000</v>
      </c>
      <c r="L163" s="125" t="inlineStr">
        <is>
          <t>WHI</t>
        </is>
      </c>
      <c r="M163" s="258" t="n">
        <v>4</v>
      </c>
      <c r="N163" s="124" t="inlineStr">
        <is>
          <t>MH05BS3118</t>
        </is>
      </c>
      <c r="O163" s="124" t="n">
        <v>3118</v>
      </c>
      <c r="P163" s="258" t="inlineStr">
        <is>
          <t>IMM</t>
        </is>
      </c>
    </row>
    <row r="164" hidden="1" s="268">
      <c r="A164" s="258" t="n">
        <v>161</v>
      </c>
      <c r="B164" s="258">
        <f>B163+1</f>
        <v/>
      </c>
      <c r="C164" s="125" t="inlineStr">
        <is>
          <t>HYUN</t>
        </is>
      </c>
      <c r="D164" s="124" t="inlineStr">
        <is>
          <t>I 20</t>
        </is>
      </c>
      <c r="E164" s="258" t="n">
        <v>2009</v>
      </c>
      <c r="G164" s="125" t="inlineStr">
        <is>
          <t>MEGNA</t>
        </is>
      </c>
      <c r="H164" s="258" t="inlineStr">
        <is>
          <t>P</t>
        </is>
      </c>
      <c r="I164" s="258" t="inlineStr">
        <is>
          <t>M</t>
        </is>
      </c>
      <c r="J164" s="258" t="n">
        <v>2</v>
      </c>
      <c r="K164" s="124" t="inlineStr">
        <is>
          <t>SCRAP</t>
        </is>
      </c>
      <c r="L164" s="125" t="inlineStr">
        <is>
          <t>SILVER</t>
        </is>
      </c>
      <c r="M164" s="258" t="n">
        <v>4</v>
      </c>
      <c r="N164" s="124" t="inlineStr">
        <is>
          <t>MH02BJ4047</t>
        </is>
      </c>
      <c r="O164" s="124" t="n">
        <v>4047</v>
      </c>
      <c r="P164" s="258" t="inlineStr">
        <is>
          <t>M4</t>
        </is>
      </c>
    </row>
    <row r="165">
      <c r="A165" s="258" t="n">
        <v>110</v>
      </c>
      <c r="B165" s="258">
        <f>B164+1</f>
        <v/>
      </c>
      <c r="C165" s="125" t="inlineStr">
        <is>
          <t>HYUN</t>
        </is>
      </c>
      <c r="D165" s="124" t="inlineStr">
        <is>
          <t>XCENT</t>
        </is>
      </c>
      <c r="E165" s="258" t="n">
        <v>2018</v>
      </c>
      <c r="G165" s="125" t="inlineStr">
        <is>
          <t>VTVT S</t>
        </is>
      </c>
      <c r="H165" s="258" t="inlineStr">
        <is>
          <t>PC</t>
        </is>
      </c>
      <c r="I165" s="258" t="inlineStr">
        <is>
          <t>M</t>
        </is>
      </c>
      <c r="J165" s="258" t="n">
        <v>2</v>
      </c>
      <c r="K165" s="124" t="n">
        <v>11284</v>
      </c>
      <c r="L165" s="125" t="inlineStr">
        <is>
          <t>WHI</t>
        </is>
      </c>
      <c r="M165" s="258" t="n">
        <v>399000</v>
      </c>
      <c r="N165" s="124" t="inlineStr">
        <is>
          <t>MH05DS2898</t>
        </is>
      </c>
      <c r="O165" s="124" t="n">
        <v>2898</v>
      </c>
      <c r="P165" s="258" t="inlineStr">
        <is>
          <t>S9</t>
        </is>
      </c>
    </row>
    <row r="166" hidden="1" s="268">
      <c r="A166" s="262" t="n">
        <v>163</v>
      </c>
      <c r="B166" s="258">
        <f>B165+1</f>
        <v/>
      </c>
      <c r="C166" s="263" t="inlineStr">
        <is>
          <t>HYUN</t>
        </is>
      </c>
      <c r="D166" s="264" t="inlineStr">
        <is>
          <t>I 20</t>
        </is>
      </c>
      <c r="E166" s="262" t="n">
        <v>2011</v>
      </c>
      <c r="F166" s="262" t="n"/>
      <c r="G166" s="263" t="n"/>
      <c r="H166" s="262" t="inlineStr">
        <is>
          <t>D</t>
        </is>
      </c>
      <c r="I166" s="262" t="inlineStr">
        <is>
          <t>M</t>
        </is>
      </c>
      <c r="J166" s="262" t="n">
        <v>2</v>
      </c>
      <c r="K166" s="264" t="n"/>
      <c r="L166" s="263" t="inlineStr">
        <is>
          <t>SIL</t>
        </is>
      </c>
      <c r="M166" s="262" t="n">
        <v>199000</v>
      </c>
      <c r="N166" s="264" t="inlineStr">
        <is>
          <t>MH02CD6835</t>
        </is>
      </c>
      <c r="O166" s="264" t="n">
        <v>6835</v>
      </c>
      <c r="P166" s="262" t="inlineStr">
        <is>
          <t>V2</t>
        </is>
      </c>
    </row>
    <row r="167" hidden="1" s="268">
      <c r="A167" s="258" t="n">
        <v>164</v>
      </c>
      <c r="B167" s="258">
        <f>B166+1</f>
        <v/>
      </c>
      <c r="C167" s="125" t="inlineStr">
        <is>
          <t>HYUN</t>
        </is>
      </c>
      <c r="D167" s="124" t="inlineStr">
        <is>
          <t xml:space="preserve">I 20 </t>
        </is>
      </c>
      <c r="E167" s="258" t="n">
        <v>2012</v>
      </c>
      <c r="F167" s="258" t="inlineStr">
        <is>
          <t>JAN</t>
        </is>
      </c>
      <c r="G167" s="125" t="inlineStr">
        <is>
          <t>SPORT 1.2</t>
        </is>
      </c>
      <c r="H167" s="258" t="inlineStr">
        <is>
          <t>D</t>
        </is>
      </c>
      <c r="I167" s="258" t="inlineStr">
        <is>
          <t>M</t>
        </is>
      </c>
      <c r="J167" s="258" t="n">
        <v>2</v>
      </c>
      <c r="L167" s="125" t="inlineStr">
        <is>
          <t>GOLD</t>
        </is>
      </c>
      <c r="M167" s="258" t="n">
        <v>269000</v>
      </c>
      <c r="N167" s="124" t="inlineStr">
        <is>
          <t>MH03BH1035</t>
        </is>
      </c>
      <c r="O167" s="124" t="n">
        <v>1035</v>
      </c>
      <c r="P167" s="258" t="inlineStr">
        <is>
          <t>IMM</t>
        </is>
      </c>
    </row>
    <row r="168" hidden="1" s="268">
      <c r="A168" s="258" t="n">
        <v>165</v>
      </c>
      <c r="B168" s="258">
        <f>B167+1</f>
        <v/>
      </c>
      <c r="C168" s="125" t="inlineStr">
        <is>
          <t>HYUN</t>
        </is>
      </c>
      <c r="D168" s="124" t="inlineStr">
        <is>
          <t>I 20</t>
        </is>
      </c>
      <c r="E168" s="258" t="n">
        <v>2014</v>
      </c>
      <c r="G168" s="125" t="inlineStr">
        <is>
          <t>SPORT</t>
        </is>
      </c>
      <c r="H168" s="258" t="inlineStr">
        <is>
          <t>P</t>
        </is>
      </c>
      <c r="I168" s="258" t="inlineStr">
        <is>
          <t>M</t>
        </is>
      </c>
      <c r="J168" s="258" t="n">
        <v>2</v>
      </c>
      <c r="L168" s="125" t="inlineStr">
        <is>
          <t>WHITE</t>
        </is>
      </c>
      <c r="M168" s="258" t="n">
        <v>289000</v>
      </c>
      <c r="N168" s="124" t="inlineStr">
        <is>
          <t>MH04GM0572</t>
        </is>
      </c>
      <c r="O168" s="124" t="n">
        <v>572</v>
      </c>
      <c r="P168" s="258" t="inlineStr">
        <is>
          <t>ILL</t>
        </is>
      </c>
    </row>
    <row r="169" hidden="1" s="268">
      <c r="A169" s="251" t="n">
        <v>43</v>
      </c>
      <c r="B169" s="258">
        <f>B168+1</f>
        <v/>
      </c>
      <c r="C169" s="164" t="inlineStr">
        <is>
          <t>MARU</t>
        </is>
      </c>
      <c r="D169" s="165" t="inlineStr">
        <is>
          <t>ERTIGA</t>
        </is>
      </c>
      <c r="E169" s="251" t="n">
        <v>2017</v>
      </c>
      <c r="F169" s="251" t="n"/>
      <c r="G169" s="164" t="inlineStr">
        <is>
          <t>VXI PLUS</t>
        </is>
      </c>
      <c r="H169" s="251" t="inlineStr">
        <is>
          <t>P</t>
        </is>
      </c>
      <c r="I169" s="251" t="inlineStr">
        <is>
          <t>M</t>
        </is>
      </c>
      <c r="J169" s="251" t="n"/>
      <c r="K169" s="165" t="n">
        <v>599000</v>
      </c>
      <c r="L169" s="164" t="n"/>
      <c r="M169" s="251" t="n">
        <v>4</v>
      </c>
      <c r="N169" s="165" t="inlineStr">
        <is>
          <t>MH43BE8322</t>
        </is>
      </c>
      <c r="O169" s="165" t="n">
        <v>8322</v>
      </c>
      <c r="P169" s="251" t="inlineStr">
        <is>
          <t>IMM</t>
        </is>
      </c>
    </row>
    <row r="170" hidden="1" s="268">
      <c r="A170" s="258" t="n">
        <v>167</v>
      </c>
      <c r="B170" s="258">
        <f>B169+1</f>
        <v/>
      </c>
      <c r="C170" s="125" t="inlineStr">
        <is>
          <t>HYUN</t>
        </is>
      </c>
      <c r="D170" s="122" t="inlineStr">
        <is>
          <t xml:space="preserve">I 20 ELITE </t>
        </is>
      </c>
      <c r="E170" s="261" t="n">
        <v>2018</v>
      </c>
      <c r="F170" s="261" t="n"/>
      <c r="G170" s="121" t="inlineStr">
        <is>
          <t>ASTA</t>
        </is>
      </c>
      <c r="H170" s="261" t="inlineStr">
        <is>
          <t>P</t>
        </is>
      </c>
      <c r="I170" s="261" t="inlineStr">
        <is>
          <t>M</t>
        </is>
      </c>
      <c r="J170" s="261" t="n">
        <v>2</v>
      </c>
      <c r="K170" s="122" t="n"/>
      <c r="L170" s="121" t="inlineStr">
        <is>
          <t>RED</t>
        </is>
      </c>
      <c r="M170" s="261" t="n">
        <v>485000</v>
      </c>
      <c r="N170" s="122" t="inlineStr">
        <is>
          <t>MH01DE2615</t>
        </is>
      </c>
      <c r="O170" s="122" t="n">
        <v>2615</v>
      </c>
      <c r="P170" s="261" t="inlineStr">
        <is>
          <t>U3</t>
        </is>
      </c>
    </row>
    <row r="171" hidden="1" s="268">
      <c r="A171" s="258" t="n">
        <v>168</v>
      </c>
      <c r="B171" s="258">
        <f>B170+1</f>
        <v/>
      </c>
      <c r="C171" s="125" t="inlineStr">
        <is>
          <t>MARU</t>
        </is>
      </c>
      <c r="D171" s="124" t="n">
        <v>800</v>
      </c>
      <c r="E171" s="258" t="inlineStr">
        <is>
          <t>2008/29</t>
        </is>
      </c>
      <c r="F171" s="258" t="inlineStr">
        <is>
          <t>EXP</t>
        </is>
      </c>
      <c r="G171" s="125" t="inlineStr">
        <is>
          <t>MPI BS 111</t>
        </is>
      </c>
      <c r="H171" s="258" t="inlineStr">
        <is>
          <t>P</t>
        </is>
      </c>
      <c r="I171" s="258" t="inlineStr">
        <is>
          <t>M</t>
        </is>
      </c>
      <c r="J171" s="258" t="n">
        <v>1</v>
      </c>
      <c r="L171" s="125" t="inlineStr">
        <is>
          <t>WHI</t>
        </is>
      </c>
      <c r="M171" s="258" t="n">
        <v>69000</v>
      </c>
      <c r="N171" s="124" t="inlineStr">
        <is>
          <t>MH12EM4381</t>
        </is>
      </c>
      <c r="O171" s="124" t="n">
        <v>4381</v>
      </c>
      <c r="P171" s="258" t="inlineStr">
        <is>
          <t>Y5</t>
        </is>
      </c>
    </row>
    <row r="172" hidden="1" s="268">
      <c r="A172" s="258" t="n">
        <v>169</v>
      </c>
      <c r="B172" s="258">
        <f>B171+1</f>
        <v/>
      </c>
      <c r="C172" s="125" t="inlineStr">
        <is>
          <t>MARU</t>
        </is>
      </c>
      <c r="D172" s="124" t="inlineStr">
        <is>
          <t>ALTO</t>
        </is>
      </c>
      <c r="E172" s="258" t="inlineStr">
        <is>
          <t>2005/26</t>
        </is>
      </c>
      <c r="G172" s="125" t="inlineStr">
        <is>
          <t>LX</t>
        </is>
      </c>
      <c r="H172" s="258" t="inlineStr">
        <is>
          <t>P</t>
        </is>
      </c>
      <c r="I172" s="258" t="inlineStr">
        <is>
          <t>M</t>
        </is>
      </c>
      <c r="J172" s="258" t="n">
        <v>2</v>
      </c>
      <c r="L172" s="125" t="inlineStr">
        <is>
          <t>SIL</t>
        </is>
      </c>
      <c r="M172" s="258" t="n">
        <v>69000</v>
      </c>
      <c r="N172" s="124" t="inlineStr">
        <is>
          <t>MH06AB2640</t>
        </is>
      </c>
      <c r="O172" s="124" t="n">
        <v>2640</v>
      </c>
      <c r="P172" s="258" t="inlineStr">
        <is>
          <t>R2</t>
        </is>
      </c>
    </row>
    <row r="173" hidden="1" s="268">
      <c r="A173" s="258" t="n">
        <v>170</v>
      </c>
      <c r="B173" s="258">
        <f>B172+1</f>
        <v/>
      </c>
      <c r="C173" s="125" t="inlineStr">
        <is>
          <t>MARU</t>
        </is>
      </c>
      <c r="D173" s="124" t="inlineStr">
        <is>
          <t>ALTO</t>
        </is>
      </c>
      <c r="E173" s="258" t="inlineStr">
        <is>
          <t>2010/25</t>
        </is>
      </c>
      <c r="F173" s="258" t="inlineStr">
        <is>
          <t>MAR</t>
        </is>
      </c>
      <c r="G173" s="125" t="inlineStr">
        <is>
          <t>LXI</t>
        </is>
      </c>
      <c r="H173" s="258" t="inlineStr">
        <is>
          <t>CR</t>
        </is>
      </c>
      <c r="I173" s="258" t="inlineStr">
        <is>
          <t>M</t>
        </is>
      </c>
      <c r="J173" s="258" t="n">
        <v>2</v>
      </c>
      <c r="L173" s="125" t="inlineStr">
        <is>
          <t>BLUE</t>
        </is>
      </c>
      <c r="M173" s="258" t="n">
        <v>89000</v>
      </c>
      <c r="N173" s="124" t="inlineStr">
        <is>
          <t>MH43AF4098</t>
        </is>
      </c>
      <c r="O173" s="124" t="n">
        <v>4098</v>
      </c>
      <c r="P173" s="258" t="inlineStr">
        <is>
          <t>N3</t>
        </is>
      </c>
    </row>
    <row r="174" hidden="1" s="268">
      <c r="A174" s="258" t="n">
        <v>129</v>
      </c>
      <c r="B174" s="258">
        <f>B173+1</f>
        <v/>
      </c>
      <c r="C174" s="147" t="inlineStr">
        <is>
          <t>SKODA</t>
        </is>
      </c>
      <c r="D174" s="124" t="inlineStr">
        <is>
          <t>SUPERB</t>
        </is>
      </c>
      <c r="E174" s="258" t="n">
        <v>2015</v>
      </c>
      <c r="G174" s="125" t="inlineStr">
        <is>
          <t>ELEGANCE</t>
        </is>
      </c>
      <c r="H174" s="258" t="inlineStr">
        <is>
          <t>P</t>
        </is>
      </c>
      <c r="I174" s="258" t="inlineStr">
        <is>
          <t>M</t>
        </is>
      </c>
      <c r="J174" s="258" t="n">
        <v>2</v>
      </c>
      <c r="K174" s="124" t="n">
        <v>599000</v>
      </c>
      <c r="L174" s="124" t="inlineStr">
        <is>
          <t>BLACK</t>
        </is>
      </c>
      <c r="M174" s="258" t="n">
        <v>4</v>
      </c>
      <c r="N174" s="124" t="inlineStr">
        <is>
          <t>MH01BY9382</t>
        </is>
      </c>
      <c r="O174" s="124" t="n">
        <v>9382</v>
      </c>
      <c r="P174" s="258" t="inlineStr">
        <is>
          <t xml:space="preserve">POLISH </t>
        </is>
      </c>
    </row>
    <row r="175" hidden="1" customFormat="1" s="256">
      <c r="A175" s="262" t="n">
        <v>172</v>
      </c>
      <c r="B175" s="258">
        <f>B174+1</f>
        <v/>
      </c>
      <c r="C175" s="164" t="inlineStr">
        <is>
          <t>MARU</t>
        </is>
      </c>
      <c r="D175" s="165" t="inlineStr">
        <is>
          <t>ALTO</t>
        </is>
      </c>
      <c r="E175" s="251" t="n">
        <v>2011</v>
      </c>
      <c r="F175" s="251" t="n"/>
      <c r="G175" s="164" t="inlineStr">
        <is>
          <t xml:space="preserve">LXI </t>
        </is>
      </c>
      <c r="H175" s="251" t="inlineStr">
        <is>
          <t>P</t>
        </is>
      </c>
      <c r="I175" s="251" t="inlineStr">
        <is>
          <t>M</t>
        </is>
      </c>
      <c r="J175" s="251" t="n">
        <v>1</v>
      </c>
      <c r="K175" s="165" t="n"/>
      <c r="L175" s="164" t="inlineStr">
        <is>
          <t>BLUE</t>
        </is>
      </c>
      <c r="M175" s="251" t="n">
        <v>119000</v>
      </c>
      <c r="N175" s="165" t="inlineStr">
        <is>
          <t>MH04EX5076</t>
        </is>
      </c>
      <c r="O175" s="165" t="n">
        <v>5076</v>
      </c>
      <c r="P175" s="251" t="inlineStr">
        <is>
          <t>L94</t>
        </is>
      </c>
    </row>
    <row r="176" hidden="1" s="268">
      <c r="A176" s="258" t="n">
        <v>76</v>
      </c>
      <c r="B176" s="258">
        <f>B175+1</f>
        <v/>
      </c>
      <c r="C176" s="125" t="inlineStr">
        <is>
          <t>MERC</t>
        </is>
      </c>
      <c r="D176" s="124" t="inlineStr">
        <is>
          <t>C CLASS</t>
        </is>
      </c>
      <c r="E176" s="258" t="n">
        <v>2012</v>
      </c>
      <c r="G176" s="125" t="inlineStr">
        <is>
          <t>C250 CDI</t>
        </is>
      </c>
      <c r="H176" s="258" t="inlineStr">
        <is>
          <t>D</t>
        </is>
      </c>
      <c r="I176" s="258" t="inlineStr">
        <is>
          <t>A</t>
        </is>
      </c>
      <c r="J176" s="258" t="n">
        <v>2</v>
      </c>
      <c r="K176" s="124" t="n">
        <v>601500</v>
      </c>
      <c r="L176" s="125" t="inlineStr">
        <is>
          <t>WHI</t>
        </is>
      </c>
      <c r="M176" s="258" t="n">
        <v>33</v>
      </c>
      <c r="N176" s="124" t="inlineStr">
        <is>
          <t>MH14CW0009</t>
        </is>
      </c>
      <c r="O176" s="124" t="n">
        <v>9</v>
      </c>
      <c r="P176" s="258" t="inlineStr">
        <is>
          <t>WEST</t>
        </is>
      </c>
    </row>
    <row r="177" hidden="1" s="268">
      <c r="A177" s="251" t="n">
        <v>9</v>
      </c>
      <c r="B177" s="258">
        <f>B176+1</f>
        <v/>
      </c>
      <c r="C177" s="164" t="inlineStr">
        <is>
          <t>FORD</t>
        </is>
      </c>
      <c r="D177" s="165" t="inlineStr">
        <is>
          <t>ECO SPORT</t>
        </is>
      </c>
      <c r="E177" s="251" t="n">
        <v>2018</v>
      </c>
      <c r="F177" s="251" t="n"/>
      <c r="G177" s="164" t="inlineStr">
        <is>
          <t>TITAN +</t>
        </is>
      </c>
      <c r="H177" s="251" t="inlineStr">
        <is>
          <t>CR</t>
        </is>
      </c>
      <c r="I177" s="251" t="inlineStr">
        <is>
          <t>A</t>
        </is>
      </c>
      <c r="J177" s="251" t="n">
        <v>3</v>
      </c>
      <c r="K177" s="165" t="n">
        <v>625000</v>
      </c>
      <c r="L177" s="164" t="inlineStr">
        <is>
          <t>RED</t>
        </is>
      </c>
      <c r="M177" s="251" t="n">
        <v>4</v>
      </c>
      <c r="N177" s="165" t="inlineStr">
        <is>
          <t>GJ15CH3040</t>
        </is>
      </c>
      <c r="O177" s="165" t="n">
        <v>3040</v>
      </c>
      <c r="P177" s="251" t="inlineStr">
        <is>
          <t>Y1</t>
        </is>
      </c>
    </row>
    <row r="178" hidden="1" s="268">
      <c r="A178" s="258" t="n">
        <v>10</v>
      </c>
      <c r="B178" s="258">
        <f>B177+1</f>
        <v/>
      </c>
      <c r="C178" s="125" t="inlineStr">
        <is>
          <t>JEEP</t>
        </is>
      </c>
      <c r="D178" s="124" t="inlineStr">
        <is>
          <t>COMPASS</t>
        </is>
      </c>
      <c r="E178" s="258" t="n">
        <v>2018</v>
      </c>
      <c r="G178" s="125" t="inlineStr">
        <is>
          <t>DDCT</t>
        </is>
      </c>
      <c r="H178" s="258" t="inlineStr">
        <is>
          <t>P</t>
        </is>
      </c>
      <c r="I178" s="258" t="inlineStr">
        <is>
          <t>A</t>
        </is>
      </c>
      <c r="J178" s="258" t="n">
        <v>2</v>
      </c>
      <c r="K178" s="124" t="n">
        <v>649000</v>
      </c>
      <c r="L178" s="125" t="inlineStr">
        <is>
          <t>WHI</t>
        </is>
      </c>
      <c r="M178" s="258" t="n">
        <v>4</v>
      </c>
      <c r="N178" s="124" t="inlineStr">
        <is>
          <t>MH02EU5265</t>
        </is>
      </c>
      <c r="O178" s="124" t="n">
        <v>5265</v>
      </c>
      <c r="P178" s="258" t="inlineStr">
        <is>
          <t>RASI</t>
        </is>
      </c>
    </row>
    <row r="179" hidden="1" s="268">
      <c r="A179" s="258" t="n">
        <v>176</v>
      </c>
      <c r="B179" s="258">
        <f>B178+1</f>
        <v/>
      </c>
      <c r="C179" s="121" t="inlineStr">
        <is>
          <t>MARU</t>
        </is>
      </c>
      <c r="D179" s="122" t="inlineStr">
        <is>
          <t>SWIFT</t>
        </is>
      </c>
      <c r="E179" s="261" t="inlineStr">
        <is>
          <t>2005/26</t>
        </is>
      </c>
      <c r="F179" s="261" t="n"/>
      <c r="G179" s="121" t="inlineStr">
        <is>
          <t>VXI</t>
        </is>
      </c>
      <c r="H179" s="261" t="inlineStr">
        <is>
          <t>P</t>
        </is>
      </c>
      <c r="I179" s="261" t="inlineStr">
        <is>
          <t>M</t>
        </is>
      </c>
      <c r="J179" s="261" t="n">
        <v>3</v>
      </c>
      <c r="K179" s="122" t="n"/>
      <c r="L179" s="121" t="inlineStr">
        <is>
          <t>BLUE</t>
        </is>
      </c>
      <c r="M179" s="261" t="n">
        <v>49000</v>
      </c>
      <c r="N179" s="122" t="inlineStr">
        <is>
          <t>MH01PA7577</t>
        </is>
      </c>
      <c r="O179" s="122" t="n">
        <v>7577</v>
      </c>
      <c r="P179" s="261" t="inlineStr">
        <is>
          <t>Y1</t>
        </is>
      </c>
    </row>
    <row r="180" hidden="1" s="268">
      <c r="A180" s="258" t="n">
        <v>177</v>
      </c>
      <c r="B180" s="258">
        <f>B179+1</f>
        <v/>
      </c>
      <c r="C180" s="121" t="inlineStr">
        <is>
          <t>MARU</t>
        </is>
      </c>
      <c r="D180" s="122" t="inlineStr">
        <is>
          <t>SWIFT</t>
        </is>
      </c>
      <c r="E180" s="261" t="inlineStr">
        <is>
          <t>2006/26</t>
        </is>
      </c>
      <c r="F180" s="261" t="n"/>
      <c r="G180" s="121" t="n"/>
      <c r="H180" s="261" t="inlineStr">
        <is>
          <t>P</t>
        </is>
      </c>
      <c r="I180" s="261" t="inlineStr">
        <is>
          <t>M</t>
        </is>
      </c>
      <c r="J180" s="261" t="n">
        <v>3</v>
      </c>
      <c r="K180" s="122" t="n">
        <v>4</v>
      </c>
      <c r="L180" s="121" t="inlineStr">
        <is>
          <t>RED</t>
        </is>
      </c>
      <c r="M180" s="261" t="n">
        <v>99000</v>
      </c>
      <c r="N180" s="122" t="inlineStr">
        <is>
          <t>MH01AY0449</t>
        </is>
      </c>
      <c r="O180" s="122" t="n">
        <v>449</v>
      </c>
      <c r="P180" s="261" t="inlineStr">
        <is>
          <t>Y5</t>
        </is>
      </c>
    </row>
    <row r="181" hidden="1" s="268">
      <c r="A181" s="258" t="n">
        <v>178</v>
      </c>
      <c r="B181" s="258">
        <f>B180+1</f>
        <v/>
      </c>
      <c r="C181" s="121" t="inlineStr">
        <is>
          <t>MARU</t>
        </is>
      </c>
      <c r="D181" s="122" t="inlineStr">
        <is>
          <t>ZEN ESTIOL</t>
        </is>
      </c>
      <c r="E181" s="261" t="n">
        <v>2011</v>
      </c>
      <c r="F181" s="261" t="n"/>
      <c r="G181" s="121" t="inlineStr">
        <is>
          <t>LXI ESTILO</t>
        </is>
      </c>
      <c r="H181" s="261" t="inlineStr">
        <is>
          <t>CR</t>
        </is>
      </c>
      <c r="I181" s="261" t="inlineStr">
        <is>
          <t>M</t>
        </is>
      </c>
      <c r="J181" s="261" t="n">
        <v>3</v>
      </c>
      <c r="K181" s="122" t="n"/>
      <c r="L181" s="121" t="n"/>
      <c r="M181" s="261" t="n">
        <v>139000</v>
      </c>
      <c r="N181" s="122" t="inlineStr">
        <is>
          <t>MH46N1275</t>
        </is>
      </c>
      <c r="O181" s="122" t="n">
        <v>1275</v>
      </c>
      <c r="P181" s="261" t="inlineStr">
        <is>
          <t>L9</t>
        </is>
      </c>
    </row>
    <row r="182" hidden="1" s="268">
      <c r="A182" s="258" t="n">
        <v>179</v>
      </c>
      <c r="B182" s="258">
        <f>B181+1</f>
        <v/>
      </c>
      <c r="C182" s="121" t="inlineStr">
        <is>
          <t>RENA</t>
        </is>
      </c>
      <c r="D182" s="122" t="inlineStr">
        <is>
          <t>KWID</t>
        </is>
      </c>
      <c r="E182" s="261" t="n">
        <v>2016</v>
      </c>
      <c r="F182" s="261" t="n"/>
      <c r="G182" s="121" t="inlineStr">
        <is>
          <t>RXT</t>
        </is>
      </c>
      <c r="H182" s="261" t="inlineStr">
        <is>
          <t>P</t>
        </is>
      </c>
      <c r="I182" s="261" t="inlineStr">
        <is>
          <t>M</t>
        </is>
      </c>
      <c r="J182" s="261" t="n">
        <v>3</v>
      </c>
      <c r="K182" s="122" t="n"/>
      <c r="L182" s="121" t="inlineStr">
        <is>
          <t>WHI</t>
        </is>
      </c>
      <c r="M182" s="261" t="n">
        <v>245000</v>
      </c>
      <c r="N182" s="122" t="inlineStr">
        <is>
          <t>MH46AP9496</t>
        </is>
      </c>
      <c r="O182" s="122" t="n">
        <v>9496</v>
      </c>
      <c r="P182" s="261" t="inlineStr">
        <is>
          <t>L99</t>
        </is>
      </c>
    </row>
    <row r="183" hidden="1" s="268">
      <c r="A183" s="258" t="n">
        <v>180</v>
      </c>
      <c r="B183" s="258">
        <f>B182+1</f>
        <v/>
      </c>
      <c r="C183" s="125" t="inlineStr">
        <is>
          <t>SHEVR</t>
        </is>
      </c>
      <c r="D183" s="124" t="inlineStr">
        <is>
          <t>SPARK</t>
        </is>
      </c>
      <c r="E183" s="258" t="n">
        <v>2010</v>
      </c>
      <c r="G183" s="125" t="inlineStr">
        <is>
          <t>LT</t>
        </is>
      </c>
      <c r="H183" s="258" t="inlineStr">
        <is>
          <t>P</t>
        </is>
      </c>
      <c r="I183" s="258" t="inlineStr">
        <is>
          <t>M</t>
        </is>
      </c>
      <c r="J183" s="258" t="n">
        <v>2</v>
      </c>
      <c r="L183" s="125" t="inlineStr">
        <is>
          <t>RED</t>
        </is>
      </c>
      <c r="M183" s="258" t="n">
        <v>79000</v>
      </c>
      <c r="N183" s="124" t="inlineStr">
        <is>
          <t>MH02BY0268</t>
        </is>
      </c>
      <c r="O183" s="124" t="n">
        <v>268</v>
      </c>
      <c r="P183" s="258" t="inlineStr">
        <is>
          <t>Y5</t>
        </is>
      </c>
    </row>
    <row r="184" hidden="1" s="268">
      <c r="A184" s="258" t="n">
        <v>58</v>
      </c>
      <c r="B184" s="258">
        <f>B183+1</f>
        <v/>
      </c>
      <c r="C184" s="125" t="inlineStr">
        <is>
          <t>TATA</t>
        </is>
      </c>
      <c r="D184" s="124" t="inlineStr">
        <is>
          <t>NEXON</t>
        </is>
      </c>
      <c r="E184" s="258" t="n">
        <v>2021</v>
      </c>
      <c r="G184" s="125" t="inlineStr">
        <is>
          <t xml:space="preserve">ZXA+ </t>
        </is>
      </c>
      <c r="H184" s="258" t="inlineStr">
        <is>
          <t>P</t>
        </is>
      </c>
      <c r="I184" s="258" t="inlineStr">
        <is>
          <t>A</t>
        </is>
      </c>
      <c r="J184" s="258" t="n">
        <v>2</v>
      </c>
      <c r="K184" s="124" t="n">
        <v>689000</v>
      </c>
      <c r="L184" s="125" t="inlineStr">
        <is>
          <t>SIL</t>
        </is>
      </c>
      <c r="M184" s="258" t="n">
        <v>33</v>
      </c>
      <c r="N184" s="124" t="inlineStr">
        <is>
          <t>MH03DK8116</t>
        </is>
      </c>
      <c r="O184" s="124" t="n">
        <v>8116</v>
      </c>
    </row>
    <row r="185" hidden="1" s="268">
      <c r="A185" s="261" t="n">
        <v>17</v>
      </c>
      <c r="B185" s="258">
        <f>B184+1</f>
        <v/>
      </c>
      <c r="C185" s="121" t="inlineStr">
        <is>
          <t>HOND</t>
        </is>
      </c>
      <c r="D185" s="122" t="inlineStr">
        <is>
          <t>BRV</t>
        </is>
      </c>
      <c r="E185" s="261" t="n">
        <v>2018</v>
      </c>
      <c r="F185" s="261" t="n"/>
      <c r="G185" s="121" t="inlineStr">
        <is>
          <t>SMT</t>
        </is>
      </c>
      <c r="H185" s="261" t="inlineStr">
        <is>
          <t>P</t>
        </is>
      </c>
      <c r="I185" s="261" t="inlineStr">
        <is>
          <t>M</t>
        </is>
      </c>
      <c r="J185" s="261" t="n">
        <v>2</v>
      </c>
      <c r="K185" s="122" t="n">
        <v>699000</v>
      </c>
      <c r="L185" s="121" t="inlineStr">
        <is>
          <t>SIL</t>
        </is>
      </c>
      <c r="M185" s="261" t="n">
        <v>4</v>
      </c>
      <c r="N185" s="122" t="inlineStr">
        <is>
          <t>MH01DB3358</t>
        </is>
      </c>
      <c r="O185" s="122" t="n">
        <v>3358</v>
      </c>
      <c r="P185" s="261" t="inlineStr">
        <is>
          <t>Y1</t>
        </is>
      </c>
    </row>
    <row r="186" hidden="1" s="268">
      <c r="A186" s="258" t="n">
        <v>183</v>
      </c>
      <c r="B186" s="258">
        <f>B185+1</f>
        <v/>
      </c>
      <c r="C186" s="121" t="inlineStr">
        <is>
          <t>TATA</t>
        </is>
      </c>
      <c r="D186" s="122" t="inlineStr">
        <is>
          <t>TIAGO</t>
        </is>
      </c>
      <c r="E186" s="261" t="n">
        <v>2016</v>
      </c>
      <c r="F186" s="261" t="n"/>
      <c r="G186" s="121" t="inlineStr">
        <is>
          <t>XZ</t>
        </is>
      </c>
      <c r="H186" s="261" t="inlineStr">
        <is>
          <t>P</t>
        </is>
      </c>
      <c r="I186" s="261" t="inlineStr">
        <is>
          <t>M</t>
        </is>
      </c>
      <c r="J186" s="261" t="n">
        <v>3</v>
      </c>
      <c r="K186" s="122" t="n">
        <v>4</v>
      </c>
      <c r="L186" s="121" t="inlineStr">
        <is>
          <t>SIL</t>
        </is>
      </c>
      <c r="M186" s="261" t="n">
        <v>295000</v>
      </c>
      <c r="N186" s="122" t="inlineStr">
        <is>
          <t>MH01CH0928</t>
        </is>
      </c>
      <c r="O186" s="122" t="n">
        <v>928</v>
      </c>
      <c r="P186" s="261" t="inlineStr">
        <is>
          <t>R3</t>
        </is>
      </c>
    </row>
    <row r="187" hidden="1" s="268">
      <c r="A187" s="258" t="n">
        <v>184</v>
      </c>
      <c r="B187" s="258">
        <f>B186+1</f>
        <v/>
      </c>
      <c r="C187" s="121" t="inlineStr">
        <is>
          <t>TATA</t>
        </is>
      </c>
      <c r="D187" s="122" t="inlineStr">
        <is>
          <t>TIAGO</t>
        </is>
      </c>
      <c r="E187" s="261" t="n">
        <v>2021</v>
      </c>
      <c r="F187" s="261" t="n"/>
      <c r="G187" s="121" t="inlineStr">
        <is>
          <t>XM</t>
        </is>
      </c>
      <c r="H187" s="261" t="inlineStr">
        <is>
          <t>E</t>
        </is>
      </c>
      <c r="I187" s="261" t="inlineStr">
        <is>
          <t>A</t>
        </is>
      </c>
      <c r="J187" s="261" t="n">
        <v>1</v>
      </c>
      <c r="K187" s="122" t="n"/>
      <c r="L187" s="121" t="inlineStr">
        <is>
          <t>BLU</t>
        </is>
      </c>
      <c r="M187" s="261" t="n">
        <v>545000</v>
      </c>
      <c r="N187" s="122" t="inlineStr">
        <is>
          <t>MH05EQ8661</t>
        </is>
      </c>
      <c r="O187" s="122" t="n">
        <v>8661</v>
      </c>
      <c r="P187" s="261" t="inlineStr">
        <is>
          <t>R6</t>
        </is>
      </c>
    </row>
    <row r="188" hidden="1" s="268">
      <c r="A188" s="258" t="n">
        <v>185</v>
      </c>
      <c r="B188" s="258">
        <f>B187+1</f>
        <v/>
      </c>
      <c r="C188" s="121" t="inlineStr">
        <is>
          <t>TOYO</t>
        </is>
      </c>
      <c r="D188" s="122" t="inlineStr">
        <is>
          <t>ETIOS CROSS</t>
        </is>
      </c>
      <c r="E188" s="261" t="n">
        <v>2014</v>
      </c>
      <c r="F188" s="261" t="n"/>
      <c r="G188" s="121" t="inlineStr">
        <is>
          <t>G</t>
        </is>
      </c>
      <c r="H188" s="261" t="inlineStr">
        <is>
          <t>CR</t>
        </is>
      </c>
      <c r="I188" s="261" t="inlineStr">
        <is>
          <t>M</t>
        </is>
      </c>
      <c r="J188" s="261" t="n">
        <v>2</v>
      </c>
      <c r="K188" s="122" t="n">
        <v>5</v>
      </c>
      <c r="L188" s="121" t="inlineStr">
        <is>
          <t>SIL</t>
        </is>
      </c>
      <c r="M188" s="261" t="n">
        <v>315000</v>
      </c>
      <c r="N188" s="122" t="inlineStr">
        <is>
          <t>MH02DN0724</t>
        </is>
      </c>
      <c r="O188" s="122" t="n">
        <v>724</v>
      </c>
      <c r="P188" s="261" t="inlineStr">
        <is>
          <t>W5</t>
        </is>
      </c>
    </row>
    <row r="189" hidden="1" s="268">
      <c r="A189" s="258" t="n">
        <v>186</v>
      </c>
      <c r="B189" s="258">
        <f>B188+1</f>
        <v/>
      </c>
      <c r="C189" s="125" t="inlineStr">
        <is>
          <t>TOYO</t>
        </is>
      </c>
      <c r="D189" s="124" t="inlineStr">
        <is>
          <t>ETIOS LIVA</t>
        </is>
      </c>
      <c r="E189" s="258" t="n">
        <v>2011</v>
      </c>
      <c r="G189" s="125" t="inlineStr">
        <is>
          <t>GD</t>
        </is>
      </c>
      <c r="H189" s="258" t="inlineStr">
        <is>
          <t>D</t>
        </is>
      </c>
      <c r="I189" s="258" t="inlineStr">
        <is>
          <t>M</t>
        </is>
      </c>
      <c r="J189" s="258" t="n">
        <v>1</v>
      </c>
      <c r="L189" s="125" t="inlineStr">
        <is>
          <t>WHI</t>
        </is>
      </c>
      <c r="M189" s="258" t="n">
        <v>239000</v>
      </c>
      <c r="N189" s="124" t="inlineStr">
        <is>
          <t>MH04FA3055</t>
        </is>
      </c>
      <c r="O189" s="124" t="n">
        <v>3055</v>
      </c>
      <c r="P189" s="258" t="inlineStr">
        <is>
          <t>T8</t>
        </is>
      </c>
    </row>
    <row r="190" hidden="1" s="268">
      <c r="A190" s="258" t="n">
        <v>45</v>
      </c>
      <c r="B190" s="258">
        <f>B189+1</f>
        <v/>
      </c>
      <c r="C190" s="125" t="inlineStr">
        <is>
          <t>MARU</t>
        </is>
      </c>
      <c r="D190" s="124" t="inlineStr">
        <is>
          <t>ERTIGA</t>
        </is>
      </c>
      <c r="E190" s="258" t="n">
        <v>2018</v>
      </c>
      <c r="F190" s="258" t="inlineStr">
        <is>
          <t>JAN</t>
        </is>
      </c>
      <c r="G190" s="125" t="inlineStr">
        <is>
          <t>VDI HYBRI</t>
        </is>
      </c>
      <c r="H190" s="258" t="inlineStr">
        <is>
          <t>D</t>
        </is>
      </c>
      <c r="I190" s="258" t="inlineStr">
        <is>
          <t>M</t>
        </is>
      </c>
      <c r="J190" s="258" t="n">
        <v>2</v>
      </c>
      <c r="K190" s="124" t="n">
        <v>729000</v>
      </c>
      <c r="L190" s="125" t="inlineStr">
        <is>
          <t>WHI</t>
        </is>
      </c>
      <c r="M190" s="258" t="n">
        <v>4</v>
      </c>
      <c r="N190" s="124" t="inlineStr">
        <is>
          <t>MH31FA8504</t>
        </is>
      </c>
      <c r="O190" s="124" t="n">
        <v>8504</v>
      </c>
      <c r="P190" s="258" t="inlineStr">
        <is>
          <t>IMM</t>
        </is>
      </c>
    </row>
    <row r="191" hidden="1" s="268">
      <c r="A191" s="258" t="n">
        <v>84</v>
      </c>
      <c r="B191" s="258">
        <f>B190+1</f>
        <v/>
      </c>
      <c r="C191" s="125" t="inlineStr">
        <is>
          <t>BMW</t>
        </is>
      </c>
      <c r="D191" s="124" t="inlineStr">
        <is>
          <t>X3</t>
        </is>
      </c>
      <c r="E191" s="258" t="n">
        <v>2014</v>
      </c>
      <c r="F191" s="258" t="inlineStr">
        <is>
          <t>MAR</t>
        </is>
      </c>
      <c r="G191" s="125" t="inlineStr">
        <is>
          <t xml:space="preserve">20 D </t>
        </is>
      </c>
      <c r="H191" s="258" t="inlineStr">
        <is>
          <t>D</t>
        </is>
      </c>
      <c r="I191" s="258" t="inlineStr">
        <is>
          <t>A</t>
        </is>
      </c>
      <c r="J191" s="258" t="n">
        <v>3</v>
      </c>
      <c r="K191" s="124" t="n">
        <v>995000</v>
      </c>
      <c r="L191" s="125" t="inlineStr">
        <is>
          <t>WHI</t>
        </is>
      </c>
      <c r="M191" s="258" t="n">
        <v>33</v>
      </c>
      <c r="N191" s="124" t="inlineStr">
        <is>
          <t>MH04GM3304</t>
        </is>
      </c>
      <c r="O191" s="124" t="n">
        <v>3304</v>
      </c>
    </row>
    <row r="192" hidden="1" s="268">
      <c r="A192" s="262" t="n">
        <v>6</v>
      </c>
      <c r="B192" s="258">
        <f>B191+1</f>
        <v/>
      </c>
      <c r="C192" s="263" t="inlineStr">
        <is>
          <t>RANGE</t>
        </is>
      </c>
      <c r="D192" s="264" t="inlineStr">
        <is>
          <t xml:space="preserve">EVOQUE </t>
        </is>
      </c>
      <c r="E192" s="262" t="n">
        <v>2012</v>
      </c>
      <c r="F192" s="262" t="n"/>
      <c r="G192" s="263" t="inlineStr">
        <is>
          <t>SD 4</t>
        </is>
      </c>
      <c r="H192" s="262" t="inlineStr">
        <is>
          <t>D</t>
        </is>
      </c>
      <c r="I192" s="262" t="inlineStr">
        <is>
          <t>A</t>
        </is>
      </c>
      <c r="J192" s="262" t="n">
        <v>2</v>
      </c>
      <c r="K192" s="264" t="n">
        <v>999000</v>
      </c>
      <c r="L192" s="263" t="inlineStr">
        <is>
          <t>RED</t>
        </is>
      </c>
      <c r="M192" s="262" t="n">
        <v>4</v>
      </c>
      <c r="N192" s="264" t="inlineStr">
        <is>
          <t>MH48A8510</t>
        </is>
      </c>
      <c r="O192" s="264" t="n">
        <v>8510</v>
      </c>
      <c r="P192" s="262" t="inlineStr">
        <is>
          <t>SAM</t>
        </is>
      </c>
    </row>
    <row r="193" hidden="1" s="268">
      <c r="A193" s="258" t="n">
        <v>190</v>
      </c>
      <c r="B193" s="258">
        <f>B192+1</f>
        <v/>
      </c>
      <c r="L193" s="125" t="inlineStr">
        <is>
          <t>REP</t>
        </is>
      </c>
      <c r="M193" s="258" t="n">
        <v>4</v>
      </c>
      <c r="N193" s="124" t="inlineStr">
        <is>
          <t>MH02BP7309</t>
        </is>
      </c>
      <c r="O193" s="124" t="n">
        <v>7309</v>
      </c>
    </row>
    <row r="194" hidden="1" s="268">
      <c r="A194" s="258" t="n">
        <v>191</v>
      </c>
      <c r="B194" s="258">
        <f>B193+1</f>
        <v/>
      </c>
      <c r="C194" s="122" t="inlineStr">
        <is>
          <t>CUST</t>
        </is>
      </c>
      <c r="D194" s="122" t="n"/>
      <c r="E194" s="261" t="n">
        <v>2015</v>
      </c>
      <c r="F194" s="261" t="n"/>
      <c r="G194" s="121" t="inlineStr">
        <is>
          <t>5 STR AC</t>
        </is>
      </c>
      <c r="H194" s="261" t="inlineStr">
        <is>
          <t>C</t>
        </is>
      </c>
      <c r="I194" s="261" t="inlineStr">
        <is>
          <t>M</t>
        </is>
      </c>
      <c r="J194" s="261" t="n">
        <v>3</v>
      </c>
      <c r="K194" s="122" t="n"/>
      <c r="L194" s="121" t="inlineStr">
        <is>
          <t>REP</t>
        </is>
      </c>
      <c r="M194" s="261" t="n">
        <v>44</v>
      </c>
      <c r="N194" s="122" t="inlineStr">
        <is>
          <t>MH14EB2745</t>
        </is>
      </c>
      <c r="O194" s="122" t="n">
        <v>2745</v>
      </c>
      <c r="P194" s="261" t="inlineStr">
        <is>
          <t>Y3</t>
        </is>
      </c>
    </row>
    <row r="195" hidden="1" s="268">
      <c r="A195" s="258" t="n">
        <v>192</v>
      </c>
      <c r="B195" s="258">
        <f>B194+1</f>
        <v/>
      </c>
      <c r="M195" s="258" t="n">
        <v>44</v>
      </c>
      <c r="O195" s="124" t="n">
        <v>9388</v>
      </c>
      <c r="P195" s="258" t="inlineStr">
        <is>
          <t>Y1</t>
        </is>
      </c>
    </row>
    <row r="196" hidden="1" s="268">
      <c r="A196" s="258" t="n">
        <v>193</v>
      </c>
      <c r="B196" s="258">
        <f>B195+1</f>
        <v/>
      </c>
      <c r="M196" s="258" t="n">
        <v>4</v>
      </c>
      <c r="O196" s="124" t="n">
        <v>2183</v>
      </c>
      <c r="P196" s="258" t="inlineStr">
        <is>
          <t>REP</t>
        </is>
      </c>
    </row>
  </sheetData>
  <autoFilter ref="A3:P196">
    <filterColumn colId="10" hiddenButton="0" showButton="1">
      <filters>
        <filter val="112000"/>
        <filter val="11284"/>
        <filter val="116000"/>
        <filter val="116159"/>
        <filter val="121135"/>
        <filter val="124000"/>
        <filter val="130000"/>
        <filter val="144000"/>
        <filter val="150000"/>
        <filter val="152390"/>
        <filter val="161000"/>
        <filter val="162893"/>
        <filter val="169773"/>
        <filter val="173399"/>
        <filter val="20000"/>
        <filter val="27460"/>
        <filter val="32706"/>
        <filter val="39000"/>
        <filter val="39989"/>
        <filter val="45000"/>
        <filter val="45065"/>
        <filter val="50000"/>
        <filter val="53934"/>
        <filter val="55000"/>
        <filter val="60000"/>
        <filter val="63000"/>
        <filter val="66000"/>
        <filter val="69000"/>
        <filter val="71000"/>
        <filter val="72000"/>
        <filter val="74635"/>
        <filter val="77895"/>
        <filter val="80000"/>
        <filter val="85000"/>
        <filter val="87272"/>
        <filter val="88584"/>
        <filter val="91257"/>
        <filter val="95970"/>
        <filter val="98000"/>
      </filters>
    </filterColumn>
    <filterColumn colId="12" hiddenButton="0" showButton="1">
      <customFilters>
        <customFilter val=" " operator="notEqual"/>
      </customFilters>
    </filterColumn>
    <sortState ref="A4:P165">
      <sortCondition descending="1" ref="K3:K196"/>
    </sortState>
  </autoFilter>
  <mergeCells count="3">
    <mergeCell ref="E1:I1"/>
    <mergeCell ref="A1:C2"/>
    <mergeCell ref="N1:O1"/>
  </mergeCells>
  <pageMargins left="0.3149606299212598" right="0.5118110236220472" top="0.1968503937007874" bottom="0.6299212598425197" header="0.1968503937007874" footer="0.1574803149606299"/>
  <pageSetup orientation="portrait" paperSize="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W237"/>
  <sheetViews>
    <sheetView topLeftCell="A213" zoomScale="140" zoomScaleNormal="140" workbookViewId="0">
      <selection activeCell="N229" sqref="N229"/>
    </sheetView>
  </sheetViews>
  <sheetFormatPr baseColWidth="8" defaultColWidth="8.77734375" defaultRowHeight="12"/>
  <cols>
    <col width="5.5546875" bestFit="1" customWidth="1" style="48" min="1" max="1"/>
    <col width="7.77734375" bestFit="1" customWidth="1" style="48" min="2" max="2"/>
    <col width="7" bestFit="1" customWidth="1" style="48" min="3" max="3"/>
    <col width="10.5546875" bestFit="1" customWidth="1" style="48" min="4" max="4"/>
    <col width="7.5546875" bestFit="1" customWidth="1" style="48" min="5" max="5"/>
    <col width="6.5546875" bestFit="1" customWidth="1" style="48" min="6" max="6"/>
    <col width="12.21875" bestFit="1" customWidth="1" style="48" min="7" max="7"/>
    <col width="3.21875" bestFit="1" customWidth="1" style="48" min="8" max="8"/>
    <col width="2.77734375" bestFit="1" customWidth="1" style="48" min="9" max="9"/>
    <col width="2.21875" bestFit="1" customWidth="1" style="48" min="10" max="10"/>
    <col width="7.21875" bestFit="1" customWidth="1" style="48" min="11" max="11"/>
    <col width="5.77734375" bestFit="1" customWidth="1" style="48" min="12" max="12"/>
    <col width="6.77734375" bestFit="1" customWidth="1" style="48" min="13" max="13"/>
    <col width="12" bestFit="1" customWidth="1" style="48" min="14" max="14"/>
    <col width="5" bestFit="1" customWidth="1" style="48" min="15" max="15"/>
    <col width="4.21875" bestFit="1" customWidth="1" style="48" min="16" max="16"/>
    <col width="2.21875" bestFit="1" customWidth="1" style="48" min="17" max="17"/>
    <col width="3.21875" bestFit="1" customWidth="1" style="48" min="18" max="18"/>
    <col width="6.21875" bestFit="1" customWidth="1" style="48" min="19" max="19"/>
    <col width="4.44140625" bestFit="1" customWidth="1" style="48" min="20" max="20"/>
    <col width="4" bestFit="1" customWidth="1" style="48" min="21" max="21"/>
    <col width="8.77734375" customWidth="1" style="48" min="22" max="22"/>
    <col width="8.77734375" customWidth="1" style="48" min="23" max="16384"/>
  </cols>
  <sheetData>
    <row r="4" customFormat="1" s="26">
      <c r="A4" s="22" t="n">
        <v>57</v>
      </c>
      <c r="B4" s="22">
        <f>'DONT TOUCH SOLD'!B48+1</f>
        <v/>
      </c>
      <c r="C4" s="23" t="inlineStr">
        <is>
          <t>TOYO</t>
        </is>
      </c>
      <c r="D4" s="24" t="inlineStr">
        <is>
          <t>INNOVA</t>
        </is>
      </c>
      <c r="E4" s="22" t="n">
        <v>2013</v>
      </c>
      <c r="F4" s="22" t="n"/>
      <c r="G4" s="22" t="inlineStr">
        <is>
          <t>2.5G E4</t>
        </is>
      </c>
      <c r="H4" s="22" t="inlineStr">
        <is>
          <t>D</t>
        </is>
      </c>
      <c r="I4" s="22" t="inlineStr">
        <is>
          <t>M</t>
        </is>
      </c>
      <c r="J4" s="22" t="n">
        <v>3</v>
      </c>
      <c r="K4" s="22" t="n"/>
      <c r="L4" s="24" t="inlineStr">
        <is>
          <t>WHI</t>
        </is>
      </c>
      <c r="M4" s="22" t="inlineStr">
        <is>
          <t>DDD</t>
        </is>
      </c>
      <c r="N4" s="24" t="inlineStr">
        <is>
          <t>MH12KE0019</t>
        </is>
      </c>
      <c r="O4" s="24" t="n">
        <v>19</v>
      </c>
      <c r="P4" s="22" t="n"/>
      <c r="Q4" s="22" t="n">
        <v>0</v>
      </c>
      <c r="R4" s="22" t="n"/>
      <c r="S4" s="22" t="n"/>
      <c r="T4" s="25" t="n"/>
      <c r="U4" s="25" t="inlineStr">
        <is>
          <t>RAJ</t>
        </is>
      </c>
    </row>
    <row r="5" customFormat="1" s="26">
      <c r="A5" s="292" t="n">
        <v>65</v>
      </c>
      <c r="B5" s="292">
        <f>'CTRL F'!B141+1</f>
        <v/>
      </c>
      <c r="C5" s="27" t="inlineStr">
        <is>
          <t>MERC</t>
        </is>
      </c>
      <c r="D5" s="28" t="inlineStr">
        <is>
          <t>C 200</t>
        </is>
      </c>
      <c r="E5" s="292" t="inlineStr">
        <is>
          <t>2011/26</t>
        </is>
      </c>
      <c r="F5" s="292" t="n"/>
      <c r="G5" s="28" t="inlineStr">
        <is>
          <t>CGI</t>
        </is>
      </c>
      <c r="H5" s="292" t="inlineStr">
        <is>
          <t>P</t>
        </is>
      </c>
      <c r="I5" s="292" t="inlineStr">
        <is>
          <t>A</t>
        </is>
      </c>
      <c r="J5" s="292" t="n">
        <v>1</v>
      </c>
      <c r="K5" s="28" t="n">
        <v>399000</v>
      </c>
      <c r="L5" s="28" t="inlineStr">
        <is>
          <t>BLACK</t>
        </is>
      </c>
      <c r="M5" s="292" t="inlineStr">
        <is>
          <t>DDD</t>
        </is>
      </c>
      <c r="N5" s="28" t="n"/>
      <c r="O5" s="28" t="n">
        <v>9993</v>
      </c>
      <c r="P5" s="292" t="inlineStr">
        <is>
          <t>SAM</t>
        </is>
      </c>
      <c r="Q5" s="292" t="n">
        <v>9</v>
      </c>
      <c r="R5" s="292" t="inlineStr">
        <is>
          <t>DJ</t>
        </is>
      </c>
      <c r="S5" s="292" t="inlineStr">
        <is>
          <t>NGP</t>
        </is>
      </c>
      <c r="T5" s="38" t="n"/>
      <c r="U5" s="38" t="n"/>
    </row>
    <row r="6" customFormat="1" s="26">
      <c r="A6" s="29" t="n">
        <v>72</v>
      </c>
      <c r="B6" s="292">
        <f>'CTRL F'!B159+1</f>
        <v/>
      </c>
      <c r="C6" s="30" t="inlineStr">
        <is>
          <t>FORD</t>
        </is>
      </c>
      <c r="D6" s="31" t="inlineStr">
        <is>
          <t>FIESTA</t>
        </is>
      </c>
      <c r="E6" s="29" t="inlineStr">
        <is>
          <t>2009/29</t>
        </is>
      </c>
      <c r="F6" s="29" t="n"/>
      <c r="G6" s="29" t="inlineStr">
        <is>
          <t>1.6EXI</t>
        </is>
      </c>
      <c r="H6" s="29" t="inlineStr">
        <is>
          <t>C</t>
        </is>
      </c>
      <c r="I6" s="29" t="inlineStr">
        <is>
          <t>M</t>
        </is>
      </c>
      <c r="J6" s="29" t="n">
        <v>3</v>
      </c>
      <c r="K6" s="29" t="n">
        <v>103000</v>
      </c>
      <c r="L6" s="31" t="inlineStr">
        <is>
          <t>PLAT</t>
        </is>
      </c>
      <c r="M6" s="29" t="inlineStr">
        <is>
          <t>DDD</t>
        </is>
      </c>
      <c r="N6" s="31" t="inlineStr">
        <is>
          <t>MH02BM6690</t>
        </is>
      </c>
      <c r="O6" s="31" t="n">
        <v>6690</v>
      </c>
      <c r="P6" s="29" t="n"/>
      <c r="Q6" s="29" t="n"/>
      <c r="R6" s="29" t="n"/>
      <c r="S6" s="29" t="n"/>
      <c r="U6" s="26" t="inlineStr">
        <is>
          <t>RAJ</t>
        </is>
      </c>
    </row>
    <row r="7" customFormat="1" s="37">
      <c r="A7" s="32" t="n">
        <v>0</v>
      </c>
      <c r="B7" s="33" t="n">
        <v>2</v>
      </c>
      <c r="C7" s="34" t="inlineStr">
        <is>
          <t>SKODA</t>
        </is>
      </c>
      <c r="D7" s="35" t="inlineStr">
        <is>
          <t>RAPID</t>
        </is>
      </c>
      <c r="E7" s="32" t="n">
        <v>2014</v>
      </c>
      <c r="F7" s="36" t="n">
        <v>46238</v>
      </c>
      <c r="G7" s="32" t="inlineStr">
        <is>
          <t>AMBI PLUS</t>
        </is>
      </c>
      <c r="H7" s="32" t="inlineStr">
        <is>
          <t>P</t>
        </is>
      </c>
      <c r="I7" s="32" t="inlineStr">
        <is>
          <t>A</t>
        </is>
      </c>
      <c r="J7" s="32" t="n">
        <v>3</v>
      </c>
      <c r="K7" s="32">
        <f>281500+21400-3000</f>
        <v/>
      </c>
      <c r="L7" s="35" t="inlineStr">
        <is>
          <t>BEIGE</t>
        </is>
      </c>
      <c r="M7" s="32" t="inlineStr">
        <is>
          <t>DDD</t>
        </is>
      </c>
      <c r="N7" s="35" t="n"/>
      <c r="O7" s="35" t="n">
        <v>3322</v>
      </c>
      <c r="P7" s="32" t="n"/>
      <c r="Q7" s="32" t="n"/>
      <c r="R7" s="32" t="inlineStr">
        <is>
          <t>DJ</t>
        </is>
      </c>
      <c r="S7" s="32" t="n"/>
    </row>
    <row r="8" customFormat="1" s="26">
      <c r="A8" s="26" t="n">
        <v>139</v>
      </c>
      <c r="B8" s="292">
        <f>'CTRL F'!B166+1</f>
        <v/>
      </c>
      <c r="C8" s="38" t="inlineStr">
        <is>
          <t>HYUN</t>
        </is>
      </c>
      <c r="D8" s="39" t="inlineStr">
        <is>
          <t xml:space="preserve"> I 10 MAGNA</t>
        </is>
      </c>
      <c r="E8" s="26" t="n">
        <v>2013</v>
      </c>
      <c r="G8" s="26" t="inlineStr">
        <is>
          <t>GLS</t>
        </is>
      </c>
      <c r="H8" s="26" t="inlineStr">
        <is>
          <t>P</t>
        </is>
      </c>
      <c r="I8" s="26" t="inlineStr">
        <is>
          <t>M</t>
        </is>
      </c>
      <c r="J8" s="26" t="n">
        <v>3</v>
      </c>
      <c r="K8" s="26" t="n">
        <v>160000</v>
      </c>
      <c r="L8" s="39" t="inlineStr">
        <is>
          <t>WHITE</t>
        </is>
      </c>
      <c r="M8" s="26" t="inlineStr">
        <is>
          <t>DDD</t>
        </is>
      </c>
      <c r="N8" s="39" t="inlineStr">
        <is>
          <t>MH03BJ4939</t>
        </is>
      </c>
      <c r="O8" s="39" t="n">
        <v>4939</v>
      </c>
      <c r="P8" s="26" t="inlineStr">
        <is>
          <t>L97</t>
        </is>
      </c>
    </row>
    <row r="9" ht="14.4" customFormat="1" customHeight="1" s="289">
      <c r="A9" s="313" t="n">
        <v>46096</v>
      </c>
      <c r="B9" s="303" t="n"/>
      <c r="C9" s="40" t="inlineStr">
        <is>
          <t>HOND</t>
        </is>
      </c>
      <c r="D9" s="41" t="inlineStr">
        <is>
          <t>BRIO</t>
        </is>
      </c>
      <c r="E9" s="42" t="n">
        <v>2012</v>
      </c>
      <c r="F9" s="42" t="n"/>
      <c r="G9" s="41" t="inlineStr">
        <is>
          <t>1.2 VMT</t>
        </is>
      </c>
      <c r="H9" s="42" t="inlineStr">
        <is>
          <t>P</t>
        </is>
      </c>
      <c r="I9" s="42" t="inlineStr">
        <is>
          <t>M</t>
        </is>
      </c>
      <c r="J9" s="42" t="n">
        <v>1</v>
      </c>
      <c r="K9" s="41" t="n">
        <v>169000</v>
      </c>
      <c r="L9" s="41" t="inlineStr">
        <is>
          <t>BLUE</t>
        </is>
      </c>
      <c r="M9" s="42" t="inlineStr">
        <is>
          <t>DDD</t>
        </is>
      </c>
      <c r="N9" s="41" t="inlineStr">
        <is>
          <t>MH01BB7383</t>
        </is>
      </c>
      <c r="O9" s="41" t="n">
        <v>7383</v>
      </c>
      <c r="P9" s="42" t="n"/>
      <c r="Q9" s="42" t="n"/>
      <c r="R9" s="42" t="n"/>
      <c r="S9" s="42" t="n"/>
      <c r="T9" s="48" t="n"/>
      <c r="U9" s="48" t="n"/>
    </row>
    <row r="10" ht="14.4" customFormat="1" customHeight="1" s="45">
      <c r="A10" s="313" t="n">
        <v>46096</v>
      </c>
      <c r="B10" s="303" t="n"/>
      <c r="C10" s="43" t="inlineStr">
        <is>
          <t>HOND</t>
        </is>
      </c>
      <c r="D10" s="44" t="inlineStr">
        <is>
          <t>CIVIC</t>
        </is>
      </c>
      <c r="E10" s="290" t="inlineStr">
        <is>
          <t>2007/28</t>
        </is>
      </c>
      <c r="F10" s="290" t="n"/>
      <c r="G10" s="290" t="inlineStr">
        <is>
          <t>1.8 V</t>
        </is>
      </c>
      <c r="H10" s="290" t="inlineStr">
        <is>
          <t>P</t>
        </is>
      </c>
      <c r="I10" s="290" t="inlineStr">
        <is>
          <t>M</t>
        </is>
      </c>
      <c r="J10" s="290" t="n">
        <v>2</v>
      </c>
      <c r="K10" s="290" t="n">
        <v>99000</v>
      </c>
      <c r="L10" s="44" t="inlineStr">
        <is>
          <t>PEARL</t>
        </is>
      </c>
      <c r="M10" s="290" t="inlineStr">
        <is>
          <t>DDD</t>
        </is>
      </c>
      <c r="N10" s="44" t="inlineStr">
        <is>
          <t>MH04DJ6350</t>
        </is>
      </c>
      <c r="O10" s="44" t="n">
        <v>6350</v>
      </c>
      <c r="P10" s="290" t="n"/>
      <c r="Q10" s="290" t="n">
        <v>6</v>
      </c>
      <c r="R10" s="290" t="n"/>
      <c r="S10" s="290" t="n"/>
      <c r="T10" s="289" t="n"/>
      <c r="U10" s="289" t="inlineStr">
        <is>
          <t>RAJ</t>
        </is>
      </c>
    </row>
    <row r="11" ht="14.4" customFormat="1" customHeight="1" s="289">
      <c r="A11" s="310" t="n">
        <v>46097</v>
      </c>
      <c r="B11" s="303" t="n"/>
      <c r="C11" s="44" t="inlineStr">
        <is>
          <t>FORD</t>
        </is>
      </c>
      <c r="D11" s="44" t="inlineStr">
        <is>
          <t>ENDEAVOUR</t>
        </is>
      </c>
      <c r="E11" s="290" t="inlineStr">
        <is>
          <t>2011/10</t>
        </is>
      </c>
      <c r="F11" s="290" t="n"/>
      <c r="G11" s="44" t="inlineStr">
        <is>
          <t>4 X 4</t>
        </is>
      </c>
      <c r="H11" s="290" t="inlineStr">
        <is>
          <t>D</t>
        </is>
      </c>
      <c r="I11" s="290" t="inlineStr">
        <is>
          <t>A</t>
        </is>
      </c>
      <c r="J11" s="290" t="n">
        <v>2</v>
      </c>
      <c r="K11" s="290" t="n">
        <v>299000</v>
      </c>
      <c r="L11" s="44" t="inlineStr">
        <is>
          <t>BLA</t>
        </is>
      </c>
      <c r="M11" s="290" t="inlineStr">
        <is>
          <t>DDD</t>
        </is>
      </c>
      <c r="N11" s="44" t="n"/>
      <c r="O11" s="44" t="n">
        <v>4506</v>
      </c>
      <c r="P11" s="290" t="inlineStr">
        <is>
          <t>M3</t>
        </is>
      </c>
      <c r="Q11" s="290" t="n">
        <v>4</v>
      </c>
      <c r="R11" s="290" t="n"/>
      <c r="S11" s="290" t="n"/>
    </row>
    <row r="12" ht="14.4" customFormat="1" customHeight="1" s="289">
      <c r="A12" s="310" t="n">
        <v>46097</v>
      </c>
      <c r="B12" s="303" t="n"/>
      <c r="C12" s="46" t="inlineStr">
        <is>
          <t>MARU</t>
        </is>
      </c>
      <c r="D12" s="46" t="inlineStr">
        <is>
          <t>ERTIGA</t>
        </is>
      </c>
      <c r="E12" s="47" t="n">
        <v>2021</v>
      </c>
      <c r="F12" s="47" t="n"/>
      <c r="G12" s="46" t="inlineStr">
        <is>
          <t>VXI+</t>
        </is>
      </c>
      <c r="H12" s="47" t="inlineStr">
        <is>
          <t>P</t>
        </is>
      </c>
      <c r="I12" s="47" t="inlineStr">
        <is>
          <t>M</t>
        </is>
      </c>
      <c r="J12" s="47" t="n">
        <v>1</v>
      </c>
      <c r="K12" s="46" t="n">
        <v>799000</v>
      </c>
      <c r="L12" s="46" t="inlineStr">
        <is>
          <t>SIL</t>
        </is>
      </c>
      <c r="M12" s="47" t="inlineStr">
        <is>
          <t>DDD</t>
        </is>
      </c>
      <c r="N12" s="46" t="inlineStr">
        <is>
          <t>MH21BQ6451</t>
        </is>
      </c>
      <c r="O12" s="46" t="n">
        <v>6451</v>
      </c>
      <c r="P12" s="47" t="inlineStr">
        <is>
          <t>Y3</t>
        </is>
      </c>
      <c r="Q12" s="47" t="n">
        <v>6</v>
      </c>
      <c r="R12" s="47" t="n"/>
      <c r="S12" s="47" t="n"/>
      <c r="T12" s="48" t="n"/>
      <c r="U12" s="48" t="n"/>
    </row>
    <row r="13" ht="14.4" customFormat="1" customHeight="1" s="289">
      <c r="A13" s="310" t="n">
        <v>46097</v>
      </c>
      <c r="B13" s="303" t="n"/>
      <c r="C13" s="43" t="inlineStr">
        <is>
          <t>TATA</t>
        </is>
      </c>
      <c r="D13" s="44" t="inlineStr">
        <is>
          <t>NEXON</t>
        </is>
      </c>
      <c r="E13" s="290" t="n">
        <v>2019</v>
      </c>
      <c r="F13" s="290" t="n"/>
      <c r="G13" s="290" t="inlineStr">
        <is>
          <t>XM 1.2RTN BS4</t>
        </is>
      </c>
      <c r="H13" s="290" t="inlineStr">
        <is>
          <t>CR</t>
        </is>
      </c>
      <c r="I13" s="290" t="inlineStr">
        <is>
          <t>M</t>
        </is>
      </c>
      <c r="J13" s="290" t="n">
        <v>2</v>
      </c>
      <c r="K13" s="290" t="n">
        <v>490000</v>
      </c>
      <c r="L13" s="44" t="inlineStr">
        <is>
          <t>ORG</t>
        </is>
      </c>
      <c r="M13" s="290" t="inlineStr">
        <is>
          <t>DDD</t>
        </is>
      </c>
      <c r="N13" s="44" t="inlineStr">
        <is>
          <t>MH48BH3624</t>
        </is>
      </c>
      <c r="O13" s="44" t="n">
        <v>3624</v>
      </c>
      <c r="P13" s="290" t="inlineStr">
        <is>
          <t>Z1</t>
        </is>
      </c>
      <c r="Q13" s="290" t="n">
        <v>3</v>
      </c>
      <c r="R13" s="290" t="n"/>
      <c r="S13" s="290" t="n"/>
    </row>
    <row r="14" ht="14.4" customFormat="1" customHeight="1" s="289">
      <c r="A14" s="310" t="n">
        <v>46097</v>
      </c>
      <c r="B14" s="303" t="n"/>
      <c r="C14" s="46" t="inlineStr">
        <is>
          <t>HOND</t>
        </is>
      </c>
      <c r="D14" s="46" t="inlineStr">
        <is>
          <t>CITY</t>
        </is>
      </c>
      <c r="E14" s="47" t="inlineStr">
        <is>
          <t>2010/29</t>
        </is>
      </c>
      <c r="F14" s="47" t="n"/>
      <c r="G14" s="46" t="inlineStr">
        <is>
          <t>CIVIC</t>
        </is>
      </c>
      <c r="H14" s="47" t="inlineStr">
        <is>
          <t>CR</t>
        </is>
      </c>
      <c r="I14" s="47" t="inlineStr">
        <is>
          <t>A</t>
        </is>
      </c>
      <c r="J14" s="47" t="n">
        <v>4</v>
      </c>
      <c r="K14" s="46" t="n">
        <v>157000</v>
      </c>
      <c r="L14" s="46" t="inlineStr">
        <is>
          <t>SIL</t>
        </is>
      </c>
      <c r="M14" s="47" t="inlineStr">
        <is>
          <t>DDD</t>
        </is>
      </c>
      <c r="N14" s="46" t="inlineStr">
        <is>
          <t>MH01AL8422</t>
        </is>
      </c>
      <c r="O14" s="46" t="n">
        <v>8422</v>
      </c>
      <c r="P14" s="47" t="inlineStr">
        <is>
          <t>Z1</t>
        </is>
      </c>
      <c r="Q14" s="47" t="n">
        <v>8</v>
      </c>
      <c r="R14" s="47" t="n"/>
      <c r="S14" s="47" t="inlineStr">
        <is>
          <t>RAT</t>
        </is>
      </c>
      <c r="T14" s="48" t="n"/>
      <c r="U14" s="48" t="n"/>
    </row>
    <row r="15" ht="14.4" customFormat="1" customHeight="1" s="289">
      <c r="A15" s="310" t="n">
        <v>46097</v>
      </c>
      <c r="B15" s="303" t="n"/>
      <c r="C15" s="289" t="inlineStr">
        <is>
          <t>MARUTI</t>
        </is>
      </c>
      <c r="D15" s="49" t="inlineStr">
        <is>
          <t>ALTO</t>
        </is>
      </c>
      <c r="E15" s="289" t="inlineStr">
        <is>
          <t>2004/29</t>
        </is>
      </c>
      <c r="G15" s="289" t="inlineStr">
        <is>
          <t>LXE R-2</t>
        </is>
      </c>
      <c r="H15" s="289" t="inlineStr">
        <is>
          <t>P</t>
        </is>
      </c>
      <c r="I15" s="289" t="inlineStr">
        <is>
          <t>M</t>
        </is>
      </c>
      <c r="J15" s="289" t="n">
        <v>3</v>
      </c>
      <c r="K15" s="289" t="n">
        <v>62000</v>
      </c>
      <c r="L15" s="49" t="inlineStr">
        <is>
          <t>BLACK</t>
        </is>
      </c>
      <c r="M15" s="289" t="inlineStr">
        <is>
          <t>DDD</t>
        </is>
      </c>
      <c r="N15" s="49" t="inlineStr">
        <is>
          <t>MH02NA9294</t>
        </is>
      </c>
      <c r="O15" s="49" t="n">
        <v>9294</v>
      </c>
      <c r="P15" s="289" t="inlineStr">
        <is>
          <t>Y5</t>
        </is>
      </c>
    </row>
    <row r="16" ht="14.4" customHeight="1" s="268">
      <c r="A16" s="310" t="n">
        <v>46098</v>
      </c>
      <c r="B16" s="303" t="n"/>
      <c r="C16" s="290" t="inlineStr">
        <is>
          <t>TATA</t>
        </is>
      </c>
      <c r="D16" s="44" t="inlineStr">
        <is>
          <t>TATA</t>
        </is>
      </c>
      <c r="E16" s="290" t="n">
        <v>2018</v>
      </c>
      <c r="F16" s="290" t="n"/>
      <c r="G16" s="290" t="inlineStr">
        <is>
          <t>XE4X2</t>
        </is>
      </c>
      <c r="H16" s="290" t="inlineStr">
        <is>
          <t>D</t>
        </is>
      </c>
      <c r="I16" s="290" t="inlineStr">
        <is>
          <t>M</t>
        </is>
      </c>
      <c r="J16" s="290" t="n">
        <v>2</v>
      </c>
      <c r="K16" s="290" t="n">
        <v>105000</v>
      </c>
      <c r="L16" s="44" t="inlineStr">
        <is>
          <t>WHT</t>
        </is>
      </c>
      <c r="M16" s="290" t="inlineStr">
        <is>
          <t>DDD</t>
        </is>
      </c>
      <c r="N16" s="44" t="inlineStr">
        <is>
          <t>MH04JM5953</t>
        </is>
      </c>
      <c r="O16" s="44" t="n">
        <v>5953</v>
      </c>
      <c r="P16" s="290" t="inlineStr">
        <is>
          <t>Y4</t>
        </is>
      </c>
      <c r="Q16" s="290" t="n">
        <v>5</v>
      </c>
      <c r="R16" s="290" t="n"/>
      <c r="S16" s="290" t="n"/>
      <c r="T16" s="289" t="n"/>
      <c r="U16" s="289" t="n"/>
    </row>
    <row r="17" ht="14.4" customFormat="1" customHeight="1" s="289">
      <c r="A17" s="310" t="n">
        <v>46098</v>
      </c>
      <c r="B17" s="303" t="n"/>
      <c r="C17" s="48" t="inlineStr">
        <is>
          <t>HOND</t>
        </is>
      </c>
      <c r="D17" s="44" t="inlineStr">
        <is>
          <t>I 10 GRAND</t>
        </is>
      </c>
      <c r="E17" s="289" t="n">
        <v>2014</v>
      </c>
      <c r="G17" s="289" t="inlineStr">
        <is>
          <t>I 10</t>
        </is>
      </c>
      <c r="H17" s="289" t="inlineStr">
        <is>
          <t>P</t>
        </is>
      </c>
      <c r="I17" s="289" t="inlineStr">
        <is>
          <t>M</t>
        </is>
      </c>
      <c r="J17" s="289" t="n">
        <v>3</v>
      </c>
      <c r="L17" s="49" t="inlineStr">
        <is>
          <t>GREY</t>
        </is>
      </c>
      <c r="M17" s="289" t="inlineStr">
        <is>
          <t>DDD</t>
        </is>
      </c>
      <c r="N17" s="49" t="inlineStr">
        <is>
          <t>MH02DN3904</t>
        </is>
      </c>
      <c r="O17" s="49" t="n">
        <v>3904</v>
      </c>
      <c r="P17" s="289" t="inlineStr">
        <is>
          <t>T9</t>
        </is>
      </c>
    </row>
    <row r="18" ht="14.4" customFormat="1" customHeight="1" s="289">
      <c r="A18" s="310" t="n">
        <v>46098</v>
      </c>
      <c r="B18" s="303" t="n"/>
      <c r="C18" s="43" t="inlineStr">
        <is>
          <t>HYUN</t>
        </is>
      </c>
      <c r="D18" s="44" t="inlineStr">
        <is>
          <t>I 20</t>
        </is>
      </c>
      <c r="E18" s="290" t="n">
        <v>2009</v>
      </c>
      <c r="F18" s="290" t="n"/>
      <c r="G18" s="290" t="inlineStr">
        <is>
          <t>ASTA</t>
        </is>
      </c>
      <c r="H18" s="290" t="inlineStr">
        <is>
          <t>CR</t>
        </is>
      </c>
      <c r="I18" s="290" t="inlineStr">
        <is>
          <t>M</t>
        </is>
      </c>
      <c r="J18" s="290" t="n">
        <v>2</v>
      </c>
      <c r="K18" s="290" t="n"/>
      <c r="L18" s="44" t="inlineStr">
        <is>
          <t>RED</t>
        </is>
      </c>
      <c r="M18" s="290" t="inlineStr">
        <is>
          <t>DDD</t>
        </is>
      </c>
      <c r="N18" s="44" t="inlineStr">
        <is>
          <t>MH06AW3491</t>
        </is>
      </c>
      <c r="O18" s="44" t="n">
        <v>3491</v>
      </c>
      <c r="P18" s="290" t="inlineStr">
        <is>
          <t>W1</t>
        </is>
      </c>
      <c r="Q18" s="290" t="n">
        <v>3</v>
      </c>
      <c r="R18" s="290" t="n"/>
      <c r="S18" s="290" t="n"/>
    </row>
    <row r="19" ht="14.4" customFormat="1" customHeight="1" s="289">
      <c r="A19" s="310" t="n">
        <v>46098</v>
      </c>
      <c r="B19" s="303" t="n"/>
      <c r="C19" s="48" t="inlineStr">
        <is>
          <t>TATA</t>
        </is>
      </c>
      <c r="D19" s="49" t="inlineStr">
        <is>
          <t>NEXON</t>
        </is>
      </c>
      <c r="E19" s="289" t="n">
        <v>2021</v>
      </c>
      <c r="G19" s="49" t="inlineStr">
        <is>
          <t>EVXZ+</t>
        </is>
      </c>
      <c r="H19" s="289" t="inlineStr">
        <is>
          <t>E</t>
        </is>
      </c>
      <c r="I19" s="289" t="inlineStr">
        <is>
          <t>A</t>
        </is>
      </c>
      <c r="J19" s="289" t="n">
        <v>1</v>
      </c>
      <c r="K19" s="289" t="n">
        <v>599000</v>
      </c>
      <c r="L19" s="49" t="inlineStr">
        <is>
          <t>BLUE</t>
        </is>
      </c>
      <c r="M19" s="289" t="inlineStr">
        <is>
          <t>DDD</t>
        </is>
      </c>
      <c r="N19" s="49" t="inlineStr">
        <is>
          <t>MH03DU2460</t>
        </is>
      </c>
      <c r="O19" s="49" t="n">
        <v>2460</v>
      </c>
      <c r="P19" s="289" t="inlineStr">
        <is>
          <t>Y1</t>
        </is>
      </c>
    </row>
    <row r="20" ht="14.4" customFormat="1" customHeight="1" s="26">
      <c r="A20" s="312" t="inlineStr">
        <is>
          <t>17-03-</t>
        </is>
      </c>
      <c r="B20" s="312" t="inlineStr">
        <is>
          <t>VOX</t>
        </is>
      </c>
      <c r="C20" s="303" t="n"/>
      <c r="D20" s="28" t="inlineStr">
        <is>
          <t>AMEO</t>
        </is>
      </c>
      <c r="E20" s="292" t="n">
        <v>2016</v>
      </c>
      <c r="F20" s="292" t="n"/>
      <c r="G20" s="292" t="inlineStr">
        <is>
          <t>1.2L M</t>
        </is>
      </c>
      <c r="H20" s="292" t="inlineStr">
        <is>
          <t>P</t>
        </is>
      </c>
      <c r="I20" s="292" t="inlineStr">
        <is>
          <t>M</t>
        </is>
      </c>
      <c r="J20" s="292" t="n">
        <v>1</v>
      </c>
      <c r="K20" s="292" t="n">
        <v>299000</v>
      </c>
      <c r="L20" s="28" t="inlineStr">
        <is>
          <t>GREY</t>
        </is>
      </c>
      <c r="M20" s="292" t="inlineStr">
        <is>
          <t>DDD</t>
        </is>
      </c>
      <c r="N20" s="28" t="inlineStr">
        <is>
          <t>MH46AU7638</t>
        </is>
      </c>
      <c r="O20" s="28" t="n">
        <v>7638</v>
      </c>
      <c r="P20" s="292" t="inlineStr">
        <is>
          <t>V3</t>
        </is>
      </c>
      <c r="Q20" s="292" t="n">
        <v>7</v>
      </c>
      <c r="R20" s="292" t="n"/>
      <c r="S20" s="292" t="n"/>
    </row>
    <row r="21" customFormat="1" s="289">
      <c r="A21" s="290" t="n">
        <v>1</v>
      </c>
      <c r="B21" s="290">
        <f>'CTRL F'!B2+1</f>
        <v/>
      </c>
      <c r="C21" s="43" t="inlineStr">
        <is>
          <t xml:space="preserve">AUDI </t>
        </is>
      </c>
      <c r="D21" s="44" t="inlineStr">
        <is>
          <t>A4</t>
        </is>
      </c>
      <c r="E21" s="290" t="inlineStr">
        <is>
          <t>2012/12</t>
        </is>
      </c>
      <c r="F21" s="290" t="n"/>
      <c r="G21" s="44" t="inlineStr">
        <is>
          <t>2.0 TDI</t>
        </is>
      </c>
      <c r="H21" s="290" t="inlineStr">
        <is>
          <t>D</t>
        </is>
      </c>
      <c r="I21" s="290" t="inlineStr">
        <is>
          <t>A</t>
        </is>
      </c>
      <c r="J21" s="290" t="n">
        <v>3</v>
      </c>
      <c r="K21" s="290" t="n">
        <v>499000</v>
      </c>
      <c r="L21" s="44" t="inlineStr">
        <is>
          <t>BROW</t>
        </is>
      </c>
      <c r="M21" s="290" t="inlineStr">
        <is>
          <t>DDD</t>
        </is>
      </c>
      <c r="N21" s="44" t="inlineStr">
        <is>
          <t>MH04FZ0411</t>
        </is>
      </c>
      <c r="O21" s="44" t="n">
        <v>411</v>
      </c>
      <c r="P21" s="290" t="inlineStr">
        <is>
          <t>Z2</t>
        </is>
      </c>
      <c r="Q21" s="290" t="n">
        <v>0</v>
      </c>
      <c r="R21" s="290" t="n"/>
      <c r="S21" s="290" t="inlineStr">
        <is>
          <t>THANA</t>
        </is>
      </c>
    </row>
    <row r="22" customFormat="1" s="289">
      <c r="A22" s="47" t="n">
        <v>126</v>
      </c>
      <c r="B22" s="290">
        <f>'DONT TOUCH SOLD'!B103+1</f>
        <v/>
      </c>
      <c r="C22" s="46" t="inlineStr">
        <is>
          <t>HOND</t>
        </is>
      </c>
      <c r="D22" s="46" t="inlineStr">
        <is>
          <t>BRIO</t>
        </is>
      </c>
      <c r="E22" s="47" t="n">
        <v>2014</v>
      </c>
      <c r="F22" s="47" t="n"/>
      <c r="G22" s="46" t="n"/>
      <c r="H22" s="47" t="inlineStr">
        <is>
          <t>P</t>
        </is>
      </c>
      <c r="I22" s="47" t="inlineStr">
        <is>
          <t>M</t>
        </is>
      </c>
      <c r="J22" s="47" t="n">
        <v>3</v>
      </c>
      <c r="K22" s="46" t="n">
        <v>199000</v>
      </c>
      <c r="L22" s="46" t="n"/>
      <c r="M22" s="47" t="inlineStr">
        <is>
          <t>DDD</t>
        </is>
      </c>
      <c r="N22" s="46" t="inlineStr">
        <is>
          <t>MH02DS4215</t>
        </is>
      </c>
      <c r="O22" s="46" t="n">
        <v>4215</v>
      </c>
      <c r="P22" s="47" t="inlineStr">
        <is>
          <t>Y1</t>
        </is>
      </c>
      <c r="Q22" s="47" t="n">
        <v>4</v>
      </c>
      <c r="R22" s="47" t="n"/>
      <c r="S22" s="47" t="n"/>
      <c r="T22" s="48" t="n"/>
      <c r="U22" s="48" t="n"/>
    </row>
    <row r="23">
      <c r="A23" s="290" t="n">
        <v>44</v>
      </c>
      <c r="B23" s="290">
        <f>'DONT TOUCH SOLD'!B31+1</f>
        <v/>
      </c>
      <c r="C23" s="44" t="inlineStr">
        <is>
          <t>TATA</t>
        </is>
      </c>
      <c r="D23" s="44" t="inlineStr">
        <is>
          <t>NEXON</t>
        </is>
      </c>
      <c r="E23" s="290" t="n">
        <v>2023</v>
      </c>
      <c r="F23" s="290" t="n"/>
      <c r="G23" s="290" t="inlineStr">
        <is>
          <t xml:space="preserve">XM </t>
        </is>
      </c>
      <c r="H23" s="290" t="inlineStr">
        <is>
          <t>P</t>
        </is>
      </c>
      <c r="I23" s="290" t="inlineStr">
        <is>
          <t>M</t>
        </is>
      </c>
      <c r="J23" s="290" t="n">
        <v>1</v>
      </c>
      <c r="K23" s="290" t="n">
        <v>699000</v>
      </c>
      <c r="L23" s="44" t="n"/>
      <c r="M23" s="290" t="inlineStr">
        <is>
          <t>DDD</t>
        </is>
      </c>
      <c r="N23" s="44" t="inlineStr">
        <is>
          <t>MH40CQ1384</t>
        </is>
      </c>
      <c r="O23" s="44" t="n">
        <v>1384</v>
      </c>
      <c r="P23" s="290" t="inlineStr">
        <is>
          <t>M2</t>
        </is>
      </c>
      <c r="Q23" s="290" t="n">
        <v>1</v>
      </c>
      <c r="R23" s="290" t="n"/>
      <c r="S23" s="290" t="n"/>
      <c r="T23" s="289" t="n"/>
      <c r="U23" s="289" t="n"/>
    </row>
    <row r="24" customFormat="1" s="289">
      <c r="A24" s="47" t="n">
        <v>130</v>
      </c>
      <c r="B24" s="290">
        <f>'DONT TOUCH SOLD'!B95+1</f>
        <v/>
      </c>
      <c r="C24" s="46" t="inlineStr">
        <is>
          <t>HYUN</t>
        </is>
      </c>
      <c r="D24" s="46" t="inlineStr">
        <is>
          <t>I 10</t>
        </is>
      </c>
      <c r="E24" s="47" t="n">
        <v>2011</v>
      </c>
      <c r="F24" s="47" t="n"/>
      <c r="G24" s="46" t="inlineStr">
        <is>
          <t>SPORT</t>
        </is>
      </c>
      <c r="H24" s="47" t="inlineStr">
        <is>
          <t>P</t>
        </is>
      </c>
      <c r="I24" s="47" t="inlineStr">
        <is>
          <t>M</t>
        </is>
      </c>
      <c r="J24" s="47" t="n">
        <v>1</v>
      </c>
      <c r="K24" s="46" t="n">
        <v>160000</v>
      </c>
      <c r="L24" s="46" t="inlineStr">
        <is>
          <t>SILV</t>
        </is>
      </c>
      <c r="M24" s="47" t="inlineStr">
        <is>
          <t>DDD</t>
        </is>
      </c>
      <c r="N24" s="46" t="inlineStr">
        <is>
          <t>MH02CB1961</t>
        </is>
      </c>
      <c r="O24" s="46" t="n">
        <v>1961</v>
      </c>
      <c r="P24" s="47" t="inlineStr">
        <is>
          <t>M1</t>
        </is>
      </c>
      <c r="Q24" s="47" t="n">
        <v>1</v>
      </c>
      <c r="R24" s="47" t="n"/>
      <c r="S24" s="47" t="n"/>
      <c r="T24" s="48" t="n"/>
      <c r="U24" s="48" t="n"/>
    </row>
    <row r="25" customFormat="1" s="289">
      <c r="A25" s="289" t="n">
        <v>158</v>
      </c>
      <c r="B25" s="290">
        <f>'DONT TOUCH SOLD'!B195+1</f>
        <v/>
      </c>
      <c r="C25" s="48" t="inlineStr">
        <is>
          <t>TATA</t>
        </is>
      </c>
      <c r="D25" s="49" t="inlineStr">
        <is>
          <t>TIAGO</t>
        </is>
      </c>
      <c r="E25" s="289" t="n">
        <v>2021</v>
      </c>
      <c r="G25" s="289" t="inlineStr">
        <is>
          <t>XTA 1.2</t>
        </is>
      </c>
      <c r="H25" s="289" t="inlineStr">
        <is>
          <t>P</t>
        </is>
      </c>
      <c r="I25" s="289" t="inlineStr">
        <is>
          <t>A</t>
        </is>
      </c>
      <c r="J25" s="289" t="n">
        <v>1</v>
      </c>
      <c r="K25" s="289" t="n">
        <v>399000</v>
      </c>
      <c r="L25" s="49" t="inlineStr">
        <is>
          <t>BLUE</t>
        </is>
      </c>
      <c r="M25" s="289" t="inlineStr">
        <is>
          <t>DDD</t>
        </is>
      </c>
      <c r="N25" s="49" t="inlineStr">
        <is>
          <t>MH04KW4302</t>
        </is>
      </c>
      <c r="O25" s="49" t="n">
        <v>4302</v>
      </c>
      <c r="P25" s="289" t="inlineStr">
        <is>
          <t>T1</t>
        </is>
      </c>
      <c r="R25" s="289" t="inlineStr">
        <is>
          <t>DJ</t>
        </is>
      </c>
    </row>
    <row r="26" customFormat="1" s="289">
      <c r="A26" s="290" t="n">
        <v>29</v>
      </c>
      <c r="B26" s="290">
        <f>'CTRL F'!#REF!+1</f>
        <v/>
      </c>
      <c r="C26" s="43" t="inlineStr">
        <is>
          <t>MARU</t>
        </is>
      </c>
      <c r="D26" s="44" t="inlineStr">
        <is>
          <t>BALENO</t>
        </is>
      </c>
      <c r="E26" s="290" t="n">
        <v>2023</v>
      </c>
      <c r="F26" s="290" t="n"/>
      <c r="G26" s="290" t="n"/>
      <c r="H26" s="290" t="inlineStr">
        <is>
          <t>CR</t>
        </is>
      </c>
      <c r="I26" s="290" t="inlineStr">
        <is>
          <t>M</t>
        </is>
      </c>
      <c r="J26" s="290" t="n">
        <v>1</v>
      </c>
      <c r="K26" s="290" t="n">
        <v>645000</v>
      </c>
      <c r="L26" s="44" t="inlineStr">
        <is>
          <t>BLUE</t>
        </is>
      </c>
      <c r="M26" s="290" t="inlineStr">
        <is>
          <t>DDD</t>
        </is>
      </c>
      <c r="N26" s="44" t="inlineStr">
        <is>
          <t>MH20GK1419</t>
        </is>
      </c>
      <c r="O26" s="44" t="n">
        <v>1419</v>
      </c>
      <c r="P26" s="290" t="inlineStr">
        <is>
          <t>Y5</t>
        </is>
      </c>
      <c r="Q26" s="290" t="n">
        <v>1</v>
      </c>
      <c r="R26" s="290" t="n"/>
      <c r="S26" s="290" t="n"/>
    </row>
    <row r="27" customFormat="1" s="289">
      <c r="A27" s="290" t="n">
        <v>48</v>
      </c>
      <c r="B27" s="290">
        <f>'CTRL F'!B111+1</f>
        <v/>
      </c>
      <c r="C27" s="43" t="inlineStr">
        <is>
          <t>TOYO</t>
        </is>
      </c>
      <c r="D27" s="44" t="inlineStr">
        <is>
          <t>INNOVA</t>
        </is>
      </c>
      <c r="E27" s="290" t="n">
        <v>2007</v>
      </c>
      <c r="F27" s="290" t="n"/>
      <c r="G27" s="290" t="n"/>
      <c r="H27" s="290" t="inlineStr">
        <is>
          <t>D</t>
        </is>
      </c>
      <c r="I27" s="290" t="inlineStr">
        <is>
          <t>M</t>
        </is>
      </c>
      <c r="J27" s="290" t="n">
        <v>3</v>
      </c>
      <c r="K27" s="290" t="n"/>
      <c r="L27" s="44" t="inlineStr">
        <is>
          <t>SIL</t>
        </is>
      </c>
      <c r="M27" s="290" t="inlineStr">
        <is>
          <t>DDD</t>
        </is>
      </c>
      <c r="N27" s="44" t="inlineStr">
        <is>
          <t>MH04DB2484</t>
        </is>
      </c>
      <c r="O27" s="44" t="n">
        <v>2484</v>
      </c>
      <c r="P27" s="290" t="inlineStr">
        <is>
          <t>Q2</t>
        </is>
      </c>
      <c r="Q27" s="290" t="n">
        <v>2</v>
      </c>
      <c r="R27" s="290" t="n"/>
      <c r="S27" s="290" t="n"/>
      <c r="T27" s="289" t="n">
        <v>2460</v>
      </c>
    </row>
    <row r="28" customFormat="1" s="289">
      <c r="A28" s="47" t="n">
        <v>95</v>
      </c>
      <c r="B28" s="290">
        <f>'CTRL F'!B116+1</f>
        <v/>
      </c>
      <c r="C28" s="46" t="inlineStr">
        <is>
          <t>MARU</t>
        </is>
      </c>
      <c r="D28" s="46" t="inlineStr">
        <is>
          <t>DESIRE</t>
        </is>
      </c>
      <c r="E28" s="47" t="inlineStr">
        <is>
          <t>2010/10</t>
        </is>
      </c>
      <c r="F28" s="47" t="n"/>
      <c r="G28" s="46" t="inlineStr">
        <is>
          <t>VXI BS4</t>
        </is>
      </c>
      <c r="H28" s="47" t="inlineStr">
        <is>
          <t>P</t>
        </is>
      </c>
      <c r="I28" s="47" t="inlineStr">
        <is>
          <t>M</t>
        </is>
      </c>
      <c r="J28" s="47" t="n">
        <v>3</v>
      </c>
      <c r="K28" s="46" t="n">
        <v>129000</v>
      </c>
      <c r="L28" s="46" t="inlineStr">
        <is>
          <t>GREY</t>
        </is>
      </c>
      <c r="M28" s="47" t="inlineStr">
        <is>
          <t>DDD</t>
        </is>
      </c>
      <c r="N28" s="46" t="inlineStr">
        <is>
          <t>MH04EQ1581</t>
        </is>
      </c>
      <c r="O28" s="46" t="n">
        <v>1581</v>
      </c>
      <c r="P28" s="47" t="inlineStr">
        <is>
          <t>M1</t>
        </is>
      </c>
      <c r="Q28" s="47" t="n">
        <v>1</v>
      </c>
      <c r="R28" s="47" t="n"/>
      <c r="S28" s="47" t="n"/>
      <c r="T28" s="48" t="n"/>
      <c r="U28" s="48" t="n"/>
    </row>
    <row r="29" customFormat="1" s="289">
      <c r="A29" s="290" t="n">
        <v>76</v>
      </c>
      <c r="B29" s="290">
        <f>'DONT TOUCH SOLD'!B50+1</f>
        <v/>
      </c>
      <c r="C29" s="43" t="inlineStr">
        <is>
          <t>HOND</t>
        </is>
      </c>
      <c r="D29" s="44" t="inlineStr">
        <is>
          <t>CITY</t>
        </is>
      </c>
      <c r="E29" s="290" t="n">
        <v>2010</v>
      </c>
      <c r="F29" s="290" t="n"/>
      <c r="G29" s="290" t="inlineStr">
        <is>
          <t>1.5 S MT</t>
        </is>
      </c>
      <c r="H29" s="290" t="inlineStr">
        <is>
          <t>P</t>
        </is>
      </c>
      <c r="I29" s="290" t="inlineStr">
        <is>
          <t>M</t>
        </is>
      </c>
      <c r="J29" s="290" t="n">
        <v>1</v>
      </c>
      <c r="K29" s="290" t="n">
        <v>225000</v>
      </c>
      <c r="L29" s="44" t="inlineStr">
        <is>
          <t>GREY</t>
        </is>
      </c>
      <c r="M29" s="290" t="inlineStr">
        <is>
          <t>DDD</t>
        </is>
      </c>
      <c r="N29" s="44" t="inlineStr">
        <is>
          <t>MH02BZ5781</t>
        </is>
      </c>
      <c r="O29" s="44" t="n">
        <v>5781</v>
      </c>
      <c r="P29" s="290" t="n"/>
      <c r="Q29" s="290" t="n">
        <v>5</v>
      </c>
      <c r="R29" s="290" t="n"/>
      <c r="S29" s="290" t="n"/>
    </row>
    <row r="30" ht="14.4" customFormat="1" customHeight="1" s="289">
      <c r="A30" s="310" t="n">
        <v>46103</v>
      </c>
      <c r="B30" s="303" t="n"/>
      <c r="C30" s="48" t="inlineStr">
        <is>
          <t>MAHI</t>
        </is>
      </c>
      <c r="D30" s="49" t="inlineStr">
        <is>
          <t>KUV100</t>
        </is>
      </c>
      <c r="E30" s="289" t="n">
        <v>2018</v>
      </c>
      <c r="F30" s="50" t="n">
        <v>46357</v>
      </c>
      <c r="G30" s="49" t="inlineStr">
        <is>
          <t>NXT K6+</t>
        </is>
      </c>
      <c r="H30" s="289" t="inlineStr">
        <is>
          <t>P</t>
        </is>
      </c>
      <c r="I30" s="289" t="inlineStr">
        <is>
          <t>M</t>
        </is>
      </c>
      <c r="J30" s="289" t="n">
        <v>3</v>
      </c>
      <c r="K30" s="289" t="n">
        <v>249000</v>
      </c>
      <c r="L30" s="49" t="inlineStr">
        <is>
          <t>SIL</t>
        </is>
      </c>
      <c r="M30" s="289" t="inlineStr">
        <is>
          <t>DDD</t>
        </is>
      </c>
      <c r="N30" s="49" t="inlineStr">
        <is>
          <t>MH14GN8005</t>
        </is>
      </c>
      <c r="O30" s="49" t="n">
        <v>8005</v>
      </c>
      <c r="P30" s="289" t="inlineStr">
        <is>
          <t>K1</t>
        </is>
      </c>
    </row>
    <row r="31" ht="14.4" customFormat="1" customHeight="1" s="289">
      <c r="A31" s="310" t="n">
        <v>46103</v>
      </c>
      <c r="B31" s="303" t="n"/>
      <c r="C31" s="48" t="inlineStr">
        <is>
          <t>TATA</t>
        </is>
      </c>
      <c r="D31" s="49" t="inlineStr">
        <is>
          <t>NEXON</t>
        </is>
      </c>
      <c r="E31" s="289" t="n">
        <v>2021</v>
      </c>
      <c r="G31" s="289" t="inlineStr">
        <is>
          <t>ZXA+ (O)</t>
        </is>
      </c>
      <c r="H31" s="289" t="inlineStr">
        <is>
          <t>DS</t>
        </is>
      </c>
      <c r="I31" s="289" t="inlineStr">
        <is>
          <t>A</t>
        </is>
      </c>
      <c r="J31" s="289" t="n">
        <v>3</v>
      </c>
      <c r="K31" s="289" t="n">
        <v>595000</v>
      </c>
      <c r="L31" s="49" t="inlineStr">
        <is>
          <t>SILVER</t>
        </is>
      </c>
      <c r="M31" s="289" t="inlineStr">
        <is>
          <t>DDD</t>
        </is>
      </c>
      <c r="N31" s="49" t="inlineStr">
        <is>
          <t>MH02FN7169</t>
        </is>
      </c>
      <c r="O31" s="49" t="n">
        <v>7169</v>
      </c>
      <c r="P31" s="289" t="inlineStr">
        <is>
          <t>U2</t>
        </is>
      </c>
      <c r="R31" s="289" t="inlineStr">
        <is>
          <t>AN</t>
        </is>
      </c>
    </row>
    <row r="32" ht="14.4" customFormat="1" customHeight="1" s="289">
      <c r="A32" s="310" t="n">
        <v>46103</v>
      </c>
      <c r="B32" s="303" t="n"/>
      <c r="C32" s="48" t="inlineStr">
        <is>
          <t>MARU</t>
        </is>
      </c>
      <c r="D32" s="49" t="inlineStr">
        <is>
          <t>DESIRE</t>
        </is>
      </c>
      <c r="E32" s="289" t="n">
        <v>2017</v>
      </c>
      <c r="G32" s="49" t="inlineStr">
        <is>
          <t>VXI</t>
        </is>
      </c>
      <c r="H32" s="289" t="inlineStr">
        <is>
          <t>P</t>
        </is>
      </c>
      <c r="I32" s="289" t="inlineStr">
        <is>
          <t>M</t>
        </is>
      </c>
      <c r="J32" s="289" t="n">
        <v>2</v>
      </c>
      <c r="K32" s="289" t="n">
        <v>407000</v>
      </c>
      <c r="L32" s="49" t="inlineStr">
        <is>
          <t>BLUE</t>
        </is>
      </c>
      <c r="M32" s="289" t="inlineStr">
        <is>
          <t>DDD</t>
        </is>
      </c>
      <c r="N32" s="49" t="inlineStr">
        <is>
          <t>MH12PH9160</t>
        </is>
      </c>
      <c r="O32" s="49" t="n">
        <v>9160</v>
      </c>
      <c r="P32" s="289" t="inlineStr">
        <is>
          <t>C2</t>
        </is>
      </c>
    </row>
    <row r="33" ht="14.4" customFormat="1" customHeight="1" s="289">
      <c r="A33" s="310" t="n">
        <v>46103</v>
      </c>
      <c r="B33" s="303" t="n"/>
      <c r="C33" s="43" t="inlineStr">
        <is>
          <t>TOYO</t>
        </is>
      </c>
      <c r="D33" s="44" t="inlineStr">
        <is>
          <t>CAMERY</t>
        </is>
      </c>
      <c r="E33" s="290" t="n">
        <v>2014</v>
      </c>
      <c r="F33" s="290" t="n"/>
      <c r="G33" s="44" t="n"/>
      <c r="H33" s="290" t="inlineStr">
        <is>
          <t>P</t>
        </is>
      </c>
      <c r="I33" s="290" t="inlineStr">
        <is>
          <t>A</t>
        </is>
      </c>
      <c r="J33" s="290" t="n">
        <v>2</v>
      </c>
      <c r="K33" s="290" t="n">
        <v>745000</v>
      </c>
      <c r="L33" s="44" t="inlineStr">
        <is>
          <t>BLACK</t>
        </is>
      </c>
      <c r="M33" s="290" t="inlineStr">
        <is>
          <t>DDD</t>
        </is>
      </c>
      <c r="N33" s="44" t="inlineStr">
        <is>
          <t>MH02DJ5341</t>
        </is>
      </c>
      <c r="O33" s="44" t="n">
        <v>5341</v>
      </c>
      <c r="P33" s="290" t="inlineStr">
        <is>
          <t>Z2</t>
        </is>
      </c>
      <c r="Q33" s="290" t="n">
        <v>5</v>
      </c>
      <c r="R33" s="290" t="n"/>
      <c r="S33" s="290" t="n"/>
    </row>
    <row r="34" ht="14.4" customFormat="1" customHeight="1" s="38">
      <c r="A34" s="312" t="n">
        <v>46103</v>
      </c>
      <c r="B34" s="303" t="n"/>
      <c r="C34" s="38" t="inlineStr">
        <is>
          <t>VOX</t>
        </is>
      </c>
      <c r="D34" s="39" t="inlineStr">
        <is>
          <t>VENTO</t>
        </is>
      </c>
      <c r="E34" s="26" t="inlineStr">
        <is>
          <t>2011/26</t>
        </is>
      </c>
      <c r="F34" s="26" t="n"/>
      <c r="G34" s="26" t="inlineStr">
        <is>
          <t>1.6 CR</t>
        </is>
      </c>
      <c r="H34" s="26" t="inlineStr">
        <is>
          <t>P</t>
        </is>
      </c>
      <c r="I34" s="26" t="inlineStr">
        <is>
          <t>M</t>
        </is>
      </c>
      <c r="J34" s="26" t="n">
        <v>3</v>
      </c>
      <c r="K34" s="26" t="n">
        <v>199000</v>
      </c>
      <c r="L34" s="39" t="inlineStr">
        <is>
          <t>WHITE</t>
        </is>
      </c>
      <c r="M34" s="26" t="inlineStr">
        <is>
          <t>DDD</t>
        </is>
      </c>
      <c r="N34" s="39" t="inlineStr">
        <is>
          <t>MH03AZ9248</t>
        </is>
      </c>
      <c r="O34" s="39" t="n">
        <v>9248</v>
      </c>
      <c r="P34" s="26" t="inlineStr">
        <is>
          <t>Y1</t>
        </is>
      </c>
      <c r="Q34" s="26" t="n"/>
      <c r="R34" s="26" t="inlineStr">
        <is>
          <t>DJ</t>
        </is>
      </c>
      <c r="S34" s="26" t="n"/>
    </row>
    <row r="35" ht="14.4" customFormat="1" customHeight="1" s="289">
      <c r="B35" s="310" t="n"/>
      <c r="C35" s="303" t="n"/>
      <c r="D35" s="49" t="n"/>
      <c r="G35" s="49" t="n"/>
      <c r="L35" s="49" t="n"/>
      <c r="N35" s="49" t="n"/>
      <c r="O35" s="49" t="n"/>
    </row>
    <row r="36" customFormat="1" s="289">
      <c r="A36" s="290" t="n">
        <v>26</v>
      </c>
      <c r="B36" s="290">
        <f>'CTRL F'!B59+1</f>
        <v/>
      </c>
      <c r="C36" s="43" t="inlineStr">
        <is>
          <t>MAHI</t>
        </is>
      </c>
      <c r="D36" s="44" t="inlineStr">
        <is>
          <t>XUV 500</t>
        </is>
      </c>
      <c r="E36" s="290" t="n">
        <v>2015</v>
      </c>
      <c r="F36" s="290" t="n"/>
      <c r="G36" s="43" t="inlineStr">
        <is>
          <t>W6</t>
        </is>
      </c>
      <c r="H36" s="290" t="inlineStr">
        <is>
          <t>D</t>
        </is>
      </c>
      <c r="I36" s="290" t="inlineStr">
        <is>
          <t>M</t>
        </is>
      </c>
      <c r="J36" s="290" t="n">
        <v>2</v>
      </c>
      <c r="K36" s="44" t="n">
        <v>485000</v>
      </c>
      <c r="L36" s="44" t="inlineStr">
        <is>
          <t>WHI</t>
        </is>
      </c>
      <c r="M36" s="290" t="inlineStr">
        <is>
          <t>DDD</t>
        </is>
      </c>
      <c r="N36" s="44" t="inlineStr">
        <is>
          <t>MH14EU7434</t>
        </is>
      </c>
      <c r="O36" s="44" t="n">
        <v>7434</v>
      </c>
      <c r="P36" s="290" t="inlineStr">
        <is>
          <t>P3</t>
        </is>
      </c>
      <c r="Q36" s="290" t="n"/>
      <c r="R36" s="51" t="n"/>
    </row>
    <row r="37" customFormat="1" s="289">
      <c r="A37" s="289" t="n">
        <v>21</v>
      </c>
      <c r="B37" s="290">
        <f>'CTRL F'!B49+1</f>
        <v/>
      </c>
      <c r="C37" s="48" t="inlineStr">
        <is>
          <t>KIA</t>
        </is>
      </c>
      <c r="D37" s="49" t="inlineStr">
        <is>
          <t>SONET</t>
        </is>
      </c>
      <c r="E37" s="289" t="n">
        <v>2020</v>
      </c>
      <c r="G37" s="48" t="inlineStr">
        <is>
          <t>G 1.0 T</t>
        </is>
      </c>
      <c r="H37" s="289" t="inlineStr">
        <is>
          <t>P</t>
        </is>
      </c>
      <c r="I37" s="289" t="inlineStr">
        <is>
          <t>IMT</t>
        </is>
      </c>
      <c r="J37" s="289" t="n">
        <v>3</v>
      </c>
      <c r="K37" s="49" t="n">
        <v>599000</v>
      </c>
      <c r="L37" s="49" t="inlineStr">
        <is>
          <t>WHITE</t>
        </is>
      </c>
      <c r="M37" s="289" t="n">
        <v>599000</v>
      </c>
      <c r="N37" s="49" t="inlineStr">
        <is>
          <t>MH01DP4550</t>
        </is>
      </c>
      <c r="O37" s="49" t="n">
        <v>4550</v>
      </c>
      <c r="P37" s="289" t="inlineStr">
        <is>
          <t>Z1</t>
        </is>
      </c>
      <c r="Q37" s="289" t="inlineStr">
        <is>
          <t>MK</t>
        </is>
      </c>
    </row>
    <row r="38" customFormat="1" s="289">
      <c r="A38" s="290" t="n">
        <v>87</v>
      </c>
      <c r="B38" s="290">
        <f>'DONT TOUCH SOLD'!B200+1</f>
        <v/>
      </c>
      <c r="C38" s="44" t="inlineStr">
        <is>
          <t>HYUN</t>
        </is>
      </c>
      <c r="D38" s="44" t="inlineStr">
        <is>
          <t>VERNA</t>
        </is>
      </c>
      <c r="E38" s="290" t="n">
        <v>2015</v>
      </c>
      <c r="F38" s="290" t="n"/>
      <c r="G38" s="43" t="inlineStr">
        <is>
          <t>SX</t>
        </is>
      </c>
      <c r="H38" s="290" t="inlineStr">
        <is>
          <t>CR</t>
        </is>
      </c>
      <c r="I38" s="290" t="inlineStr">
        <is>
          <t>M</t>
        </is>
      </c>
      <c r="J38" s="290" t="n">
        <v>3</v>
      </c>
      <c r="K38" s="44" t="n">
        <v>340000</v>
      </c>
      <c r="L38" s="44" t="inlineStr">
        <is>
          <t>BLACK</t>
        </is>
      </c>
      <c r="M38" s="290" t="inlineStr">
        <is>
          <t>DDD</t>
        </is>
      </c>
      <c r="N38" s="44" t="inlineStr">
        <is>
          <t>MH43AT3076</t>
        </is>
      </c>
      <c r="O38" s="44" t="n">
        <v>3076</v>
      </c>
      <c r="P38" s="290" t="inlineStr">
        <is>
          <t>ABR</t>
        </is>
      </c>
      <c r="Q38" s="290" t="n"/>
      <c r="R38" s="290" t="n"/>
    </row>
    <row r="39" customFormat="1" s="26">
      <c r="A39" s="26" t="n">
        <v>168</v>
      </c>
      <c r="B39" s="292">
        <f>'DONT TOUCH SOLD'!B62+1</f>
        <v/>
      </c>
      <c r="C39" s="38" t="inlineStr">
        <is>
          <t>TOYO</t>
        </is>
      </c>
      <c r="D39" s="39" t="inlineStr">
        <is>
          <t>ETIOS CROSS</t>
        </is>
      </c>
      <c r="E39" s="26" t="n">
        <v>2014</v>
      </c>
      <c r="G39" s="38" t="inlineStr">
        <is>
          <t>1.2 G</t>
        </is>
      </c>
      <c r="H39" s="26" t="inlineStr">
        <is>
          <t>C</t>
        </is>
      </c>
      <c r="I39" s="26" t="inlineStr">
        <is>
          <t>M</t>
        </is>
      </c>
      <c r="J39" s="26" t="n">
        <v>2</v>
      </c>
      <c r="K39" s="39" t="n">
        <v>251500</v>
      </c>
      <c r="L39" s="39" t="inlineStr">
        <is>
          <t>RED</t>
        </is>
      </c>
      <c r="M39" s="26" t="inlineStr">
        <is>
          <t>DDD</t>
        </is>
      </c>
      <c r="N39" s="39" t="inlineStr">
        <is>
          <t>MH01BU2276</t>
        </is>
      </c>
      <c r="O39" s="39" t="n">
        <v>2276</v>
      </c>
      <c r="P39" s="26" t="inlineStr">
        <is>
          <t>W2</t>
        </is>
      </c>
    </row>
    <row r="40" customFormat="1" s="289">
      <c r="A40" s="42" t="n">
        <v>33</v>
      </c>
      <c r="B40" s="290">
        <f>'DONT TOUCH SOLD'!B118+1</f>
        <v/>
      </c>
      <c r="C40" s="41" t="inlineStr">
        <is>
          <t>MARU</t>
        </is>
      </c>
      <c r="D40" s="41" t="inlineStr">
        <is>
          <t>ERTIGA</t>
        </is>
      </c>
      <c r="E40" s="42" t="n">
        <v>2022</v>
      </c>
      <c r="F40" s="42" t="n"/>
      <c r="G40" s="40" t="inlineStr">
        <is>
          <t>VXI O</t>
        </is>
      </c>
      <c r="H40" s="42" t="inlineStr">
        <is>
          <t>CR</t>
        </is>
      </c>
      <c r="I40" s="42" t="inlineStr">
        <is>
          <t>M</t>
        </is>
      </c>
      <c r="J40" s="42" t="n">
        <v>3</v>
      </c>
      <c r="K40" s="41" t="n">
        <v>775000</v>
      </c>
      <c r="L40" s="41" t="n"/>
      <c r="M40" s="42" t="inlineStr">
        <is>
          <t>DDD</t>
        </is>
      </c>
      <c r="N40" s="41" t="inlineStr">
        <is>
          <t>MH14KF9714</t>
        </is>
      </c>
      <c r="O40" s="41" t="n">
        <v>9714</v>
      </c>
      <c r="P40" s="42" t="inlineStr">
        <is>
          <t>Z1</t>
        </is>
      </c>
      <c r="Q40" s="42" t="n"/>
      <c r="R40" s="42" t="n"/>
    </row>
    <row r="41" customFormat="1" s="289">
      <c r="A41" s="289" t="n">
        <v>15</v>
      </c>
      <c r="B41" s="290">
        <f>'CTRL F'!B31+1</f>
        <v/>
      </c>
      <c r="C41" s="49" t="inlineStr">
        <is>
          <t>HUYN</t>
        </is>
      </c>
      <c r="D41" s="49" t="inlineStr">
        <is>
          <t>CRETA</t>
        </is>
      </c>
      <c r="E41" s="289" t="n">
        <v>2017</v>
      </c>
      <c r="G41" s="48" t="inlineStr">
        <is>
          <t>VTVT SX</t>
        </is>
      </c>
      <c r="H41" s="289" t="inlineStr">
        <is>
          <t>CR</t>
        </is>
      </c>
      <c r="I41" s="289" t="inlineStr">
        <is>
          <t>M</t>
        </is>
      </c>
      <c r="J41" s="289" t="n">
        <v>3</v>
      </c>
      <c r="K41" s="49" t="n">
        <v>499000</v>
      </c>
      <c r="L41" s="49" t="inlineStr">
        <is>
          <t>DUST</t>
        </is>
      </c>
      <c r="M41" s="289" t="inlineStr">
        <is>
          <t>DDD</t>
        </is>
      </c>
      <c r="N41" s="49" t="inlineStr">
        <is>
          <t>MH01CP4332</t>
        </is>
      </c>
      <c r="O41" s="49" t="n">
        <v>4332</v>
      </c>
      <c r="P41" s="289" t="inlineStr">
        <is>
          <t>Y2</t>
        </is>
      </c>
    </row>
    <row r="42" customFormat="1" s="289">
      <c r="A42" s="289" t="n">
        <v>39</v>
      </c>
      <c r="B42" s="290">
        <f>'CTRL F'!B90+1</f>
        <v/>
      </c>
      <c r="C42" s="48" t="inlineStr">
        <is>
          <t>TATA</t>
        </is>
      </c>
      <c r="D42" s="49" t="inlineStr">
        <is>
          <t>NEXON</t>
        </is>
      </c>
      <c r="E42" s="289" t="n">
        <v>2018</v>
      </c>
      <c r="G42" s="48" t="inlineStr">
        <is>
          <t xml:space="preserve">XE 1.2 RTN </t>
        </is>
      </c>
      <c r="H42" s="289" t="inlineStr">
        <is>
          <t>P</t>
        </is>
      </c>
      <c r="I42" s="289" t="inlineStr">
        <is>
          <t>M</t>
        </is>
      </c>
      <c r="J42" s="289" t="n">
        <v>1</v>
      </c>
      <c r="K42" s="49" t="n">
        <v>429000</v>
      </c>
      <c r="L42" s="49" t="inlineStr">
        <is>
          <t>WHI</t>
        </is>
      </c>
      <c r="M42" s="289" t="inlineStr">
        <is>
          <t>DDD</t>
        </is>
      </c>
      <c r="N42" s="49" t="inlineStr">
        <is>
          <t>MH02EU6622</t>
        </is>
      </c>
      <c r="O42" s="49" t="n">
        <v>6622</v>
      </c>
      <c r="P42" s="289" t="inlineStr">
        <is>
          <t>Z1</t>
        </is>
      </c>
    </row>
    <row r="43" customFormat="1" s="289">
      <c r="A43" s="290" t="n">
        <v>162</v>
      </c>
      <c r="B43" s="290">
        <f>'CTRL F'!B162+1</f>
        <v/>
      </c>
      <c r="C43" s="43" t="inlineStr">
        <is>
          <t>MARU</t>
        </is>
      </c>
      <c r="D43" s="44" t="inlineStr">
        <is>
          <t>SWIFT</t>
        </is>
      </c>
      <c r="E43" s="290" t="inlineStr">
        <is>
          <t>2006/26</t>
        </is>
      </c>
      <c r="F43" s="290" t="n"/>
      <c r="G43" s="43" t="inlineStr">
        <is>
          <t>LXI</t>
        </is>
      </c>
      <c r="H43" s="290" t="inlineStr">
        <is>
          <t>P</t>
        </is>
      </c>
      <c r="I43" s="290" t="inlineStr">
        <is>
          <t>M</t>
        </is>
      </c>
      <c r="J43" s="290" t="n"/>
      <c r="K43" s="44" t="n">
        <v>81000</v>
      </c>
      <c r="L43" s="44" t="inlineStr">
        <is>
          <t>SIL</t>
        </is>
      </c>
      <c r="M43" s="290" t="inlineStr">
        <is>
          <t>DDD</t>
        </is>
      </c>
      <c r="N43" s="44" t="inlineStr">
        <is>
          <t>MH08C7364</t>
        </is>
      </c>
      <c r="O43" s="44" t="n">
        <v>7364</v>
      </c>
      <c r="P43" s="290" t="inlineStr">
        <is>
          <t>Y5</t>
        </is>
      </c>
      <c r="Q43" s="290" t="n"/>
      <c r="R43" s="290" t="n"/>
    </row>
    <row r="44" customFormat="1" s="26">
      <c r="A44" s="292" t="n">
        <v>102</v>
      </c>
      <c r="B44" s="292">
        <f>'CTRL F'!#REF!+1</f>
        <v/>
      </c>
      <c r="C44" s="27" t="inlineStr">
        <is>
          <t>MARU</t>
        </is>
      </c>
      <c r="D44" s="28" t="inlineStr">
        <is>
          <t>SX4</t>
        </is>
      </c>
      <c r="E44" s="292" t="inlineStr">
        <is>
          <t>2010/30</t>
        </is>
      </c>
      <c r="F44" s="292" t="n"/>
      <c r="G44" s="27" t="inlineStr">
        <is>
          <t>VXI</t>
        </is>
      </c>
      <c r="H44" s="292" t="inlineStr">
        <is>
          <t>P</t>
        </is>
      </c>
      <c r="I44" s="292" t="inlineStr">
        <is>
          <t>M</t>
        </is>
      </c>
      <c r="J44" s="292" t="n">
        <v>3</v>
      </c>
      <c r="K44" s="28" t="n">
        <v>139000</v>
      </c>
      <c r="L44" s="28" t="inlineStr">
        <is>
          <t>SIL</t>
        </is>
      </c>
      <c r="M44" s="292" t="inlineStr">
        <is>
          <t>DDD</t>
        </is>
      </c>
      <c r="N44" s="28" t="inlineStr">
        <is>
          <t>MH31DC9326</t>
        </is>
      </c>
      <c r="O44" s="28" t="n">
        <v>9326</v>
      </c>
      <c r="P44" s="292" t="inlineStr">
        <is>
          <t>R6</t>
        </is>
      </c>
      <c r="Q44" s="292" t="n"/>
      <c r="R44" s="292" t="n"/>
    </row>
    <row r="45" customFormat="1" s="289">
      <c r="A45" s="290" t="n">
        <v>128</v>
      </c>
      <c r="B45" s="290">
        <f>'CTRL F'!#REF!+1</f>
        <v/>
      </c>
      <c r="C45" s="43" t="inlineStr">
        <is>
          <t>VOX</t>
        </is>
      </c>
      <c r="D45" s="44" t="inlineStr">
        <is>
          <t>VENTO</t>
        </is>
      </c>
      <c r="E45" s="290" t="n">
        <v>2012</v>
      </c>
      <c r="F45" s="290" t="n"/>
      <c r="G45" s="43" t="inlineStr">
        <is>
          <t>1.6 MPI</t>
        </is>
      </c>
      <c r="H45" s="290" t="inlineStr">
        <is>
          <t>P</t>
        </is>
      </c>
      <c r="I45" s="290" t="inlineStr">
        <is>
          <t>M</t>
        </is>
      </c>
      <c r="J45" s="290" t="n">
        <v>3</v>
      </c>
      <c r="K45" s="44" t="n">
        <v>199000</v>
      </c>
      <c r="L45" s="44" t="inlineStr">
        <is>
          <t>WHI</t>
        </is>
      </c>
      <c r="M45" s="290" t="inlineStr">
        <is>
          <t>DDD</t>
        </is>
      </c>
      <c r="N45" s="44" t="inlineStr">
        <is>
          <t>MH02CL3885</t>
        </is>
      </c>
      <c r="O45" s="44" t="n">
        <v>3885</v>
      </c>
      <c r="P45" s="290" t="inlineStr">
        <is>
          <t>Z1</t>
        </is>
      </c>
      <c r="Q45" s="290" t="n"/>
      <c r="R45" s="290" t="n"/>
    </row>
    <row r="46" customFormat="1" s="289">
      <c r="A46" s="290" t="n"/>
      <c r="B46" s="290" t="n"/>
      <c r="C46" s="43" t="n"/>
      <c r="D46" s="44" t="n"/>
      <c r="E46" s="290" t="n"/>
      <c r="F46" s="290" t="n"/>
      <c r="G46" s="43" t="n"/>
      <c r="H46" s="290" t="n"/>
      <c r="I46" s="290" t="n"/>
      <c r="J46" s="290" t="n"/>
      <c r="K46" s="44" t="n"/>
      <c r="L46" s="44" t="n"/>
      <c r="M46" s="290" t="n"/>
      <c r="N46" s="44" t="n"/>
      <c r="O46" s="44" t="n"/>
      <c r="P46" s="290" t="n"/>
      <c r="Q46" s="290" t="n"/>
      <c r="R46" s="290" t="n"/>
    </row>
    <row r="47" customFormat="1" s="82">
      <c r="A47" s="79" t="n">
        <v>176</v>
      </c>
      <c r="B47" s="79">
        <f>'DONT TOUCH SOLD'!B57+1</f>
        <v/>
      </c>
      <c r="C47" s="80" t="inlineStr">
        <is>
          <t>VOX</t>
        </is>
      </c>
      <c r="D47" s="81" t="inlineStr">
        <is>
          <t>POLO</t>
        </is>
      </c>
      <c r="E47" s="79" t="inlineStr">
        <is>
          <t>2011/26</t>
        </is>
      </c>
      <c r="F47" s="79" t="n"/>
      <c r="G47" s="80" t="inlineStr">
        <is>
          <t>1.2 MPI COM</t>
        </is>
      </c>
      <c r="H47" s="79" t="inlineStr">
        <is>
          <t>P</t>
        </is>
      </c>
      <c r="I47" s="79" t="inlineStr">
        <is>
          <t>M</t>
        </is>
      </c>
      <c r="J47" s="79" t="n">
        <v>2</v>
      </c>
      <c r="K47" s="81" t="n">
        <v>189000</v>
      </c>
      <c r="L47" s="81" t="inlineStr">
        <is>
          <t>RED</t>
        </is>
      </c>
      <c r="M47" s="79" t="inlineStr">
        <is>
          <t>DDD</t>
        </is>
      </c>
      <c r="N47" s="81" t="inlineStr">
        <is>
          <t>MH02CB6287</t>
        </is>
      </c>
      <c r="O47" s="81" t="n">
        <v>6287</v>
      </c>
      <c r="P47" s="79" t="inlineStr">
        <is>
          <t>S1</t>
        </is>
      </c>
      <c r="Q47" s="79" t="n"/>
      <c r="R47" s="79" t="n"/>
      <c r="S47" s="82" t="n">
        <v>1</v>
      </c>
    </row>
    <row r="48" customFormat="1" s="289">
      <c r="A48" s="290" t="n">
        <v>55</v>
      </c>
      <c r="B48" s="290">
        <f>'DONT TOUCH SOLD'!B144+1</f>
        <v/>
      </c>
      <c r="C48" s="43" t="inlineStr">
        <is>
          <t>TOYO</t>
        </is>
      </c>
      <c r="D48" s="44" t="inlineStr">
        <is>
          <t>INNOVA</t>
        </is>
      </c>
      <c r="E48" s="290" t="n">
        <v>2016</v>
      </c>
      <c r="F48" s="290" t="n"/>
      <c r="G48" s="43" t="n"/>
      <c r="H48" s="290" t="inlineStr">
        <is>
          <t>D</t>
        </is>
      </c>
      <c r="I48" s="290" t="inlineStr">
        <is>
          <t>M</t>
        </is>
      </c>
      <c r="J48" s="290" t="n">
        <v>2</v>
      </c>
      <c r="K48" s="44" t="n">
        <v>695000</v>
      </c>
      <c r="L48" s="44" t="inlineStr">
        <is>
          <t>GOLD</t>
        </is>
      </c>
      <c r="M48" s="290" t="inlineStr">
        <is>
          <t>DDD</t>
        </is>
      </c>
      <c r="N48" s="44" t="inlineStr">
        <is>
          <t>MH43BA0908</t>
        </is>
      </c>
      <c r="O48" s="52" t="n">
        <v>908</v>
      </c>
      <c r="P48" s="290" t="inlineStr">
        <is>
          <t>Y5</t>
        </is>
      </c>
      <c r="Q48" s="290" t="n"/>
      <c r="R48" s="290" t="n"/>
      <c r="S48" s="289">
        <f>S47+1</f>
        <v/>
      </c>
    </row>
    <row r="49" ht="14.4" customFormat="1" customHeight="1" s="26">
      <c r="A49" s="312" t="n">
        <v>46114</v>
      </c>
      <c r="B49" s="303" t="n"/>
      <c r="C49" s="27" t="inlineStr">
        <is>
          <t>MARU</t>
        </is>
      </c>
      <c r="D49" s="28" t="inlineStr">
        <is>
          <t>XL 6</t>
        </is>
      </c>
      <c r="E49" s="292" t="n">
        <v>2021</v>
      </c>
      <c r="F49" s="53" t="n">
        <v>46143</v>
      </c>
      <c r="G49" s="27" t="inlineStr">
        <is>
          <t>ZETA</t>
        </is>
      </c>
      <c r="H49" s="292" t="inlineStr">
        <is>
          <t>P</t>
        </is>
      </c>
      <c r="I49" s="292" t="inlineStr">
        <is>
          <t>A</t>
        </is>
      </c>
      <c r="J49" s="292" t="n">
        <v>2</v>
      </c>
      <c r="K49" s="28" t="n">
        <v>799000</v>
      </c>
      <c r="L49" s="28" t="inlineStr">
        <is>
          <t>BU RED</t>
        </is>
      </c>
      <c r="M49" s="292" t="inlineStr">
        <is>
          <t>DDD</t>
        </is>
      </c>
      <c r="N49" s="28" t="inlineStr">
        <is>
          <t>MH47AY5818</t>
        </is>
      </c>
      <c r="O49" s="28" t="n">
        <v>5818</v>
      </c>
      <c r="P49" s="292" t="n"/>
      <c r="Q49" s="292" t="inlineStr">
        <is>
          <t>DJ</t>
        </is>
      </c>
      <c r="R49" s="292" t="inlineStr">
        <is>
          <t>BORI</t>
        </is>
      </c>
      <c r="S49" s="289">
        <f>S48+1</f>
        <v/>
      </c>
    </row>
    <row r="50" customFormat="1" s="289">
      <c r="A50" s="290" t="n">
        <v>41</v>
      </c>
      <c r="B50" s="290">
        <f>'CTRL F'!B90+1</f>
        <v/>
      </c>
      <c r="C50" s="43" t="inlineStr">
        <is>
          <t xml:space="preserve">TATA </t>
        </is>
      </c>
      <c r="D50" s="44" t="inlineStr">
        <is>
          <t>NEXON</t>
        </is>
      </c>
      <c r="E50" s="290" t="n">
        <v>2020</v>
      </c>
      <c r="F50" s="290" t="n"/>
      <c r="G50" s="43" t="inlineStr">
        <is>
          <t>TOP</t>
        </is>
      </c>
      <c r="H50" s="290" t="inlineStr">
        <is>
          <t>PS</t>
        </is>
      </c>
      <c r="I50" s="290" t="inlineStr">
        <is>
          <t>A</t>
        </is>
      </c>
      <c r="J50" s="290" t="n">
        <v>2</v>
      </c>
      <c r="K50" s="44" t="n">
        <v>690000</v>
      </c>
      <c r="L50" s="44" t="inlineStr">
        <is>
          <t>GREY</t>
        </is>
      </c>
      <c r="M50" s="290" t="inlineStr">
        <is>
          <t>DDD</t>
        </is>
      </c>
      <c r="N50" s="44" t="inlineStr">
        <is>
          <t>MH04KL6763</t>
        </is>
      </c>
      <c r="O50" s="44" t="n">
        <v>6763</v>
      </c>
      <c r="P50" s="290" t="inlineStr">
        <is>
          <t>Z1</t>
        </is>
      </c>
      <c r="Q50" s="290" t="n"/>
      <c r="R50" s="290" t="n"/>
      <c r="S50" s="289">
        <f>S49+1</f>
        <v/>
      </c>
    </row>
    <row r="51" customFormat="1" s="289">
      <c r="A51" s="289" t="n">
        <v>122</v>
      </c>
      <c r="B51" s="290">
        <f>'CTRL F'!B56+1</f>
        <v/>
      </c>
      <c r="C51" s="43" t="inlineStr">
        <is>
          <t>TOYO</t>
        </is>
      </c>
      <c r="D51" s="44" t="inlineStr">
        <is>
          <t>ETIOS</t>
        </is>
      </c>
      <c r="E51" s="290" t="n">
        <v>2012</v>
      </c>
      <c r="F51" s="55" t="n">
        <v>46291</v>
      </c>
      <c r="G51" s="48" t="inlineStr">
        <is>
          <t>ETIOS</t>
        </is>
      </c>
      <c r="H51" s="289" t="inlineStr">
        <is>
          <t>D</t>
        </is>
      </c>
      <c r="I51" s="289" t="inlineStr">
        <is>
          <t>M</t>
        </is>
      </c>
      <c r="J51" s="289" t="n">
        <v>2</v>
      </c>
      <c r="K51" s="49" t="n">
        <v>240000</v>
      </c>
      <c r="L51" s="44" t="inlineStr">
        <is>
          <t>WHI</t>
        </is>
      </c>
      <c r="M51" s="289" t="inlineStr">
        <is>
          <t>DDD</t>
        </is>
      </c>
      <c r="N51" s="44" t="inlineStr">
        <is>
          <t>MH01BF3345</t>
        </is>
      </c>
      <c r="O51" s="44" t="n">
        <v>3345</v>
      </c>
      <c r="P51" s="289" t="inlineStr">
        <is>
          <t>U6</t>
        </is>
      </c>
      <c r="S51" s="289">
        <f>S50+1</f>
        <v/>
      </c>
    </row>
    <row r="52" customFormat="1" s="289">
      <c r="A52" s="290" t="n">
        <v>147</v>
      </c>
      <c r="B52" s="290">
        <f>'CTRL F'!#REF!+1</f>
        <v/>
      </c>
      <c r="C52" s="43" t="inlineStr">
        <is>
          <t>HYUN</t>
        </is>
      </c>
      <c r="D52" s="44" t="inlineStr">
        <is>
          <t xml:space="preserve">I 20 </t>
        </is>
      </c>
      <c r="E52" s="290" t="inlineStr">
        <is>
          <t>2011/26</t>
        </is>
      </c>
      <c r="F52" s="290" t="n"/>
      <c r="G52" s="43" t="inlineStr">
        <is>
          <t>SPORTS</t>
        </is>
      </c>
      <c r="H52" s="290" t="inlineStr">
        <is>
          <t>CR</t>
        </is>
      </c>
      <c r="I52" s="290" t="inlineStr">
        <is>
          <t>M</t>
        </is>
      </c>
      <c r="J52" s="290" t="n">
        <v>3</v>
      </c>
      <c r="K52" s="44" t="n">
        <v>151000</v>
      </c>
      <c r="L52" s="44" t="inlineStr">
        <is>
          <t>WHI</t>
        </is>
      </c>
      <c r="M52" s="290" t="inlineStr">
        <is>
          <t>DDD</t>
        </is>
      </c>
      <c r="N52" s="44" t="inlineStr">
        <is>
          <t>MH01AX9371</t>
        </is>
      </c>
      <c r="O52" s="44" t="n">
        <v>9371</v>
      </c>
      <c r="P52" s="290" t="inlineStr">
        <is>
          <t>Z2</t>
        </is>
      </c>
      <c r="Q52" s="290" t="inlineStr">
        <is>
          <t>AN</t>
        </is>
      </c>
      <c r="R52" s="290" t="n"/>
      <c r="S52" s="289">
        <f>S51+1</f>
        <v/>
      </c>
    </row>
    <row r="53" ht="14.4" customFormat="1" customHeight="1" s="289">
      <c r="A53" s="310" t="n">
        <v>46116</v>
      </c>
      <c r="B53" s="303" t="n"/>
      <c r="C53" s="43" t="inlineStr">
        <is>
          <t>MERC</t>
        </is>
      </c>
      <c r="D53" s="44" t="inlineStr">
        <is>
          <t>E 200</t>
        </is>
      </c>
      <c r="E53" s="290" t="n">
        <v>2012</v>
      </c>
      <c r="F53" s="290" t="n"/>
      <c r="G53" s="43" t="n"/>
      <c r="H53" s="290" t="inlineStr">
        <is>
          <t>P</t>
        </is>
      </c>
      <c r="I53" s="290" t="inlineStr">
        <is>
          <t>A</t>
        </is>
      </c>
      <c r="J53" s="290" t="n">
        <v>1</v>
      </c>
      <c r="K53" s="44" t="n">
        <v>599000</v>
      </c>
      <c r="L53" s="44" t="inlineStr">
        <is>
          <t>BLACK</t>
        </is>
      </c>
      <c r="M53" s="290" t="inlineStr">
        <is>
          <t>DDD</t>
        </is>
      </c>
      <c r="N53" s="44" t="inlineStr">
        <is>
          <t>MH04FA8960</t>
        </is>
      </c>
      <c r="O53" s="44" t="n">
        <v>8960</v>
      </c>
      <c r="P53" s="290" t="inlineStr">
        <is>
          <t>X2</t>
        </is>
      </c>
      <c r="Q53" s="290" t="n"/>
      <c r="R53" s="290" t="n"/>
      <c r="S53" s="289">
        <f>S52+1</f>
        <v/>
      </c>
    </row>
    <row r="54" ht="14.4" customFormat="1" customHeight="1" s="26">
      <c r="A54" s="312" t="n">
        <v>46117</v>
      </c>
      <c r="B54" s="303" t="n"/>
      <c r="C54" s="38" t="inlineStr">
        <is>
          <t>FORD</t>
        </is>
      </c>
      <c r="D54" s="28" t="inlineStr">
        <is>
          <t>ENDEAVOUR</t>
        </is>
      </c>
      <c r="E54" s="26" t="n">
        <v>2011</v>
      </c>
      <c r="G54" s="38" t="inlineStr">
        <is>
          <t>4X4</t>
        </is>
      </c>
      <c r="H54" s="26" t="inlineStr">
        <is>
          <t>D</t>
        </is>
      </c>
      <c r="I54" s="26" t="inlineStr">
        <is>
          <t>A</t>
        </is>
      </c>
      <c r="J54" s="26" t="n">
        <v>2</v>
      </c>
      <c r="K54" s="39" t="n">
        <v>371000</v>
      </c>
      <c r="L54" s="39" t="inlineStr">
        <is>
          <t>WHI</t>
        </is>
      </c>
      <c r="M54" s="26" t="inlineStr">
        <is>
          <t>DDD</t>
        </is>
      </c>
      <c r="N54" s="39" t="inlineStr">
        <is>
          <t>MH02CB9922</t>
        </is>
      </c>
      <c r="O54" s="39" t="n">
        <v>9922</v>
      </c>
      <c r="P54" s="26" t="inlineStr">
        <is>
          <t>E2</t>
        </is>
      </c>
      <c r="S54" s="289">
        <f>S53+1</f>
        <v/>
      </c>
    </row>
    <row r="55" ht="14.4" customFormat="1" customHeight="1" s="289">
      <c r="A55" s="310" t="n">
        <v>46117</v>
      </c>
      <c r="B55" s="303" t="n"/>
      <c r="C55" s="48" t="inlineStr">
        <is>
          <t>TOYO</t>
        </is>
      </c>
      <c r="D55" s="49" t="inlineStr">
        <is>
          <t>ETIOS</t>
        </is>
      </c>
      <c r="E55" s="289" t="n">
        <v>2012</v>
      </c>
      <c r="F55" s="50" t="n">
        <v>46235</v>
      </c>
      <c r="G55" s="48" t="inlineStr">
        <is>
          <t>G</t>
        </is>
      </c>
      <c r="H55" s="50" t="inlineStr">
        <is>
          <t>CR</t>
        </is>
      </c>
      <c r="I55" s="289" t="inlineStr">
        <is>
          <t>M</t>
        </is>
      </c>
      <c r="J55" s="289" t="n">
        <v>1</v>
      </c>
      <c r="K55" s="49" t="n">
        <v>192500</v>
      </c>
      <c r="L55" s="49" t="inlineStr">
        <is>
          <t>WHI</t>
        </is>
      </c>
      <c r="M55" s="289" t="inlineStr">
        <is>
          <t>DDD</t>
        </is>
      </c>
      <c r="N55" s="49" t="inlineStr">
        <is>
          <t>MH02CH1222</t>
        </is>
      </c>
      <c r="O55" s="49" t="n">
        <v>1222</v>
      </c>
      <c r="P55" s="289" t="inlineStr">
        <is>
          <t>Z1</t>
        </is>
      </c>
      <c r="S55" s="289">
        <f>S54+1</f>
        <v/>
      </c>
    </row>
    <row r="56" ht="14.4" customFormat="1" customHeight="1" s="26">
      <c r="A56" s="312" t="n">
        <v>46117</v>
      </c>
      <c r="B56" s="303" t="n"/>
      <c r="C56" s="27" t="inlineStr">
        <is>
          <t>TOYO</t>
        </is>
      </c>
      <c r="D56" s="28" t="inlineStr">
        <is>
          <t>CAMERY</t>
        </is>
      </c>
      <c r="E56" s="292" t="n">
        <v>2012</v>
      </c>
      <c r="F56" s="292" t="n"/>
      <c r="G56" s="27" t="inlineStr">
        <is>
          <t>2.5 G</t>
        </is>
      </c>
      <c r="H56" s="292" t="inlineStr">
        <is>
          <t>C</t>
        </is>
      </c>
      <c r="I56" s="292" t="inlineStr">
        <is>
          <t>A</t>
        </is>
      </c>
      <c r="J56" s="292" t="n">
        <v>2</v>
      </c>
      <c r="K56" s="28" t="n">
        <v>500000</v>
      </c>
      <c r="L56" s="28" t="inlineStr">
        <is>
          <t>WHI</t>
        </is>
      </c>
      <c r="M56" s="292" t="inlineStr">
        <is>
          <t>DDD</t>
        </is>
      </c>
      <c r="N56" s="28" t="inlineStr">
        <is>
          <t>MH02CV6660</t>
        </is>
      </c>
      <c r="O56" s="28" t="n">
        <v>6660</v>
      </c>
      <c r="P56" s="292" t="n"/>
      <c r="Q56" s="292" t="n"/>
      <c r="R56" s="292" t="n"/>
      <c r="S56" s="289">
        <f>S55+1</f>
        <v/>
      </c>
    </row>
    <row r="57" ht="14.4" customFormat="1" customHeight="1" s="289">
      <c r="A57" s="310" t="n">
        <v>46118</v>
      </c>
      <c r="B57" s="303" t="n"/>
      <c r="C57" s="43" t="inlineStr">
        <is>
          <t>HYUN</t>
        </is>
      </c>
      <c r="D57" s="44" t="inlineStr">
        <is>
          <t>VENUE</t>
        </is>
      </c>
      <c r="E57" s="290" t="n">
        <v>2019</v>
      </c>
      <c r="F57" s="290" t="n"/>
      <c r="G57" s="43" t="inlineStr">
        <is>
          <t>SX</t>
        </is>
      </c>
      <c r="H57" s="290" t="inlineStr">
        <is>
          <t>P</t>
        </is>
      </c>
      <c r="I57" s="290" t="inlineStr">
        <is>
          <t>A</t>
        </is>
      </c>
      <c r="J57" s="290" t="n">
        <v>1</v>
      </c>
      <c r="K57" s="44" t="n">
        <v>719000</v>
      </c>
      <c r="L57" s="44" t="inlineStr">
        <is>
          <t>SIL</t>
        </is>
      </c>
      <c r="M57" s="290" t="inlineStr">
        <is>
          <t>DDD</t>
        </is>
      </c>
      <c r="N57" s="44" t="inlineStr">
        <is>
          <t>MH47AN3290</t>
        </is>
      </c>
      <c r="O57" s="44" t="n">
        <v>3290</v>
      </c>
      <c r="P57" s="290" t="n"/>
      <c r="Q57" s="290" t="n"/>
      <c r="R57" s="54" t="n"/>
      <c r="S57" s="289">
        <f>S56+1</f>
        <v/>
      </c>
    </row>
    <row r="58" ht="14.4" customFormat="1" customHeight="1" s="289">
      <c r="A58" s="310" t="n">
        <v>46118</v>
      </c>
      <c r="B58" s="303" t="n"/>
      <c r="C58" s="48" t="inlineStr">
        <is>
          <t>RENA</t>
        </is>
      </c>
      <c r="D58" s="49" t="inlineStr">
        <is>
          <t>TRIBER</t>
        </is>
      </c>
      <c r="E58" s="289" t="n">
        <v>2020</v>
      </c>
      <c r="G58" s="48" t="inlineStr">
        <is>
          <t>RXZ</t>
        </is>
      </c>
      <c r="H58" s="289" t="inlineStr">
        <is>
          <t>P</t>
        </is>
      </c>
      <c r="I58" s="289" t="inlineStr">
        <is>
          <t>M</t>
        </is>
      </c>
      <c r="J58" s="289" t="n">
        <v>2</v>
      </c>
      <c r="K58" s="49" t="n">
        <v>369000</v>
      </c>
      <c r="L58" s="49" t="inlineStr">
        <is>
          <t>META</t>
        </is>
      </c>
      <c r="M58" s="289" t="inlineStr">
        <is>
          <t>DDD</t>
        </is>
      </c>
      <c r="N58" s="49" t="inlineStr">
        <is>
          <t>MH12SQ8426</t>
        </is>
      </c>
      <c r="O58" s="49" t="n">
        <v>8426</v>
      </c>
      <c r="S58" s="289">
        <f>S57+1</f>
        <v/>
      </c>
    </row>
    <row r="59" ht="14.4" customFormat="1" customHeight="1" s="289">
      <c r="A59" s="311" t="n">
        <v>46121</v>
      </c>
      <c r="B59" s="303" t="n"/>
      <c r="C59" s="48" t="inlineStr">
        <is>
          <t>MARU</t>
        </is>
      </c>
      <c r="D59" s="49" t="inlineStr">
        <is>
          <t>DESIRE</t>
        </is>
      </c>
      <c r="E59" s="289" t="inlineStr">
        <is>
          <t>2010/30</t>
        </is>
      </c>
      <c r="F59" s="289" t="inlineStr">
        <is>
          <t>AUG</t>
        </is>
      </c>
      <c r="G59" s="48" t="inlineStr">
        <is>
          <t>VXI</t>
        </is>
      </c>
      <c r="H59" s="289" t="inlineStr">
        <is>
          <t>P</t>
        </is>
      </c>
      <c r="I59" s="289" t="inlineStr">
        <is>
          <t>M</t>
        </is>
      </c>
      <c r="J59" s="289" t="n">
        <v>2</v>
      </c>
      <c r="K59" s="49" t="n">
        <v>133500</v>
      </c>
      <c r="L59" s="49" t="inlineStr">
        <is>
          <t>SIL</t>
        </is>
      </c>
      <c r="M59" s="289" t="inlineStr">
        <is>
          <t>DDD</t>
        </is>
      </c>
      <c r="N59" s="49" t="inlineStr">
        <is>
          <t>MH04EF5268</t>
        </is>
      </c>
      <c r="O59" s="49" t="n">
        <v>5268</v>
      </c>
      <c r="P59" s="289" t="inlineStr">
        <is>
          <t>PPP</t>
        </is>
      </c>
      <c r="S59" s="289">
        <f>S58+1</f>
        <v/>
      </c>
    </row>
    <row r="60" ht="14.4" customFormat="1" customHeight="1" s="289">
      <c r="A60" s="311" t="n">
        <v>46121</v>
      </c>
      <c r="B60" s="303" t="n"/>
      <c r="C60" s="48" t="inlineStr">
        <is>
          <t>BMW</t>
        </is>
      </c>
      <c r="D60" s="49" t="inlineStr">
        <is>
          <t>320D</t>
        </is>
      </c>
      <c r="E60" s="289" t="n">
        <v>2014</v>
      </c>
      <c r="G60" s="48" t="inlineStr">
        <is>
          <t>BS4 AT</t>
        </is>
      </c>
      <c r="H60" s="289" t="inlineStr">
        <is>
          <t>D</t>
        </is>
      </c>
      <c r="I60" s="289" t="inlineStr">
        <is>
          <t>A</t>
        </is>
      </c>
      <c r="J60" s="289" t="n">
        <v>1</v>
      </c>
      <c r="K60" s="49" t="n">
        <v>801500</v>
      </c>
      <c r="L60" s="49" t="inlineStr">
        <is>
          <t>RED</t>
        </is>
      </c>
      <c r="M60" s="289" t="inlineStr">
        <is>
          <t>DDD</t>
        </is>
      </c>
      <c r="N60" s="49" t="inlineStr">
        <is>
          <t>MH04GJ7987</t>
        </is>
      </c>
      <c r="O60" s="49" t="n">
        <v>7987</v>
      </c>
      <c r="S60" s="289">
        <f>S59+1</f>
        <v/>
      </c>
    </row>
    <row r="61" ht="14.4" customFormat="1" customHeight="1" s="289">
      <c r="A61" s="311" t="n">
        <v>46121</v>
      </c>
      <c r="B61" s="303" t="n"/>
      <c r="C61" s="43" t="inlineStr">
        <is>
          <t>HYUN</t>
        </is>
      </c>
      <c r="D61" s="49" t="inlineStr">
        <is>
          <t>I 20</t>
        </is>
      </c>
      <c r="E61" s="290" t="inlineStr">
        <is>
          <t>2010/30</t>
        </is>
      </c>
      <c r="F61" s="290" t="n">
        <v>9</v>
      </c>
      <c r="G61" s="43" t="inlineStr">
        <is>
          <t>MAGNA</t>
        </is>
      </c>
      <c r="H61" s="290" t="inlineStr">
        <is>
          <t>P</t>
        </is>
      </c>
      <c r="I61" s="290" t="inlineStr">
        <is>
          <t>M</t>
        </is>
      </c>
      <c r="J61" s="290" t="n">
        <v>3</v>
      </c>
      <c r="K61" s="44" t="n">
        <v>151000</v>
      </c>
      <c r="L61" s="44" t="inlineStr">
        <is>
          <t>SIL</t>
        </is>
      </c>
      <c r="M61" s="290" t="inlineStr">
        <is>
          <t>DDD</t>
        </is>
      </c>
      <c r="N61" s="44" t="inlineStr">
        <is>
          <t>MH02BP7309</t>
        </is>
      </c>
      <c r="O61" s="44" t="n">
        <v>7309</v>
      </c>
      <c r="P61" s="290" t="n"/>
      <c r="Q61" s="290" t="n"/>
      <c r="R61" s="290" t="n"/>
      <c r="S61" s="289">
        <f>S60+1</f>
        <v/>
      </c>
    </row>
    <row r="62" ht="14.4" customFormat="1" customHeight="1" s="289">
      <c r="A62" s="311" t="n">
        <v>46121</v>
      </c>
      <c r="B62" s="303" t="n"/>
      <c r="C62" s="48" t="inlineStr">
        <is>
          <t>MARU</t>
        </is>
      </c>
      <c r="D62" s="49" t="inlineStr">
        <is>
          <t>WAGON R</t>
        </is>
      </c>
      <c r="E62" s="289" t="n">
        <v>2008</v>
      </c>
      <c r="G62" s="48" t="n"/>
      <c r="H62" s="289" t="inlineStr">
        <is>
          <t>P</t>
        </is>
      </c>
      <c r="I62" s="289" t="inlineStr">
        <is>
          <t>M</t>
        </is>
      </c>
      <c r="J62" s="289" t="n">
        <v>3</v>
      </c>
      <c r="K62" s="49" t="n">
        <v>83000</v>
      </c>
      <c r="L62" s="49" t="inlineStr">
        <is>
          <t>SIL</t>
        </is>
      </c>
      <c r="M62" s="289" t="inlineStr">
        <is>
          <t>DDD</t>
        </is>
      </c>
      <c r="N62" s="49" t="inlineStr">
        <is>
          <t>MH01AH2310</t>
        </is>
      </c>
      <c r="O62" s="49" t="n">
        <v>2310</v>
      </c>
      <c r="S62" s="289">
        <f>S61+1</f>
        <v/>
      </c>
    </row>
    <row r="63" ht="14.4" customFormat="1" customHeight="1" s="289">
      <c r="A63" s="311" t="n">
        <v>46121</v>
      </c>
      <c r="B63" s="303" t="n"/>
      <c r="C63" s="43" t="inlineStr">
        <is>
          <t>HYUN</t>
        </is>
      </c>
      <c r="D63" s="49" t="inlineStr">
        <is>
          <t>I 20</t>
        </is>
      </c>
      <c r="E63" s="290" t="inlineStr">
        <is>
          <t>2011/02</t>
        </is>
      </c>
      <c r="F63" s="290" t="inlineStr">
        <is>
          <t>EXP</t>
        </is>
      </c>
      <c r="G63" s="43" t="inlineStr">
        <is>
          <t>MAGNA</t>
        </is>
      </c>
      <c r="H63" s="290" t="inlineStr">
        <is>
          <t>CR</t>
        </is>
      </c>
      <c r="I63" s="290" t="inlineStr">
        <is>
          <t>M</t>
        </is>
      </c>
      <c r="J63" s="290" t="n">
        <v>1</v>
      </c>
      <c r="K63" s="44" t="n">
        <v>161000</v>
      </c>
      <c r="L63" s="44" t="inlineStr">
        <is>
          <t>RED</t>
        </is>
      </c>
      <c r="M63" s="290" t="inlineStr">
        <is>
          <t>DDD</t>
        </is>
      </c>
      <c r="N63" s="44" t="inlineStr">
        <is>
          <t>MH01AV8968</t>
        </is>
      </c>
      <c r="O63" s="44" t="n">
        <v>8968</v>
      </c>
      <c r="P63" s="290" t="n"/>
      <c r="Q63" s="290" t="n"/>
      <c r="R63" s="290" t="n"/>
      <c r="S63" s="289">
        <f>S62+1</f>
        <v/>
      </c>
    </row>
    <row r="64" ht="14.4" customFormat="1" customHeight="1" s="289">
      <c r="A64" s="311" t="n">
        <v>46121</v>
      </c>
      <c r="B64" s="303" t="n"/>
      <c r="C64" s="48" t="inlineStr">
        <is>
          <t>TATA</t>
        </is>
      </c>
      <c r="D64" s="49" t="inlineStr">
        <is>
          <t>AQUA</t>
        </is>
      </c>
      <c r="E64" s="289" t="n">
        <v>2009</v>
      </c>
      <c r="G64" s="48" t="n"/>
      <c r="H64" s="289" t="inlineStr">
        <is>
          <t>P</t>
        </is>
      </c>
      <c r="I64" s="289" t="inlineStr">
        <is>
          <t>M</t>
        </is>
      </c>
      <c r="J64" s="289" t="n">
        <v>3</v>
      </c>
      <c r="K64" s="49" t="n">
        <v>93000</v>
      </c>
      <c r="L64" s="49" t="inlineStr">
        <is>
          <t>ORA</t>
        </is>
      </c>
      <c r="M64" s="289" t="inlineStr">
        <is>
          <t>DDD</t>
        </is>
      </c>
      <c r="N64" s="49" t="inlineStr">
        <is>
          <t>MH04ED3649</t>
        </is>
      </c>
      <c r="O64" s="49" t="n">
        <v>3649</v>
      </c>
      <c r="S64" s="289">
        <f>S63+1</f>
        <v/>
      </c>
    </row>
    <row r="65" ht="14.4" customFormat="1" customHeight="1" s="289">
      <c r="A65" s="311" t="n">
        <v>46121</v>
      </c>
      <c r="B65" s="303" t="n"/>
      <c r="C65" s="48" t="inlineStr">
        <is>
          <t xml:space="preserve">AUDI </t>
        </is>
      </c>
      <c r="D65" s="49" t="inlineStr">
        <is>
          <t>A8</t>
        </is>
      </c>
      <c r="E65" s="289" t="n">
        <v>2011</v>
      </c>
      <c r="G65" s="48" t="inlineStr">
        <is>
          <t>A8L</t>
        </is>
      </c>
      <c r="H65" s="289" t="inlineStr">
        <is>
          <t>D</t>
        </is>
      </c>
      <c r="I65" s="289" t="inlineStr">
        <is>
          <t>A</t>
        </is>
      </c>
      <c r="J65" s="289" t="n">
        <v>3</v>
      </c>
      <c r="K65" s="49" t="n">
        <v>722000</v>
      </c>
      <c r="L65" s="49" t="inlineStr">
        <is>
          <t>BLACK</t>
        </is>
      </c>
      <c r="M65" s="289" t="inlineStr">
        <is>
          <t>DDD</t>
        </is>
      </c>
      <c r="N65" s="49" t="inlineStr">
        <is>
          <t>MH02CD8000</t>
        </is>
      </c>
      <c r="O65" s="49" t="n">
        <v>8000</v>
      </c>
      <c r="P65" s="289" t="inlineStr">
        <is>
          <t>ASD</t>
        </is>
      </c>
      <c r="S65" s="289">
        <f>S64+1</f>
        <v/>
      </c>
    </row>
    <row r="66" ht="14.4" customFormat="1" customHeight="1" s="289">
      <c r="A66" s="311" t="n">
        <v>45758</v>
      </c>
      <c r="B66" s="303" t="n"/>
      <c r="C66" s="48" t="inlineStr">
        <is>
          <t>TOYO</t>
        </is>
      </c>
      <c r="D66" s="49" t="inlineStr">
        <is>
          <t>INNOVA</t>
        </is>
      </c>
      <c r="E66" s="289" t="n">
        <v>2012</v>
      </c>
      <c r="F66" s="289" t="inlineStr">
        <is>
          <t>OCT</t>
        </is>
      </c>
      <c r="G66" s="48" t="inlineStr">
        <is>
          <t>2.5 V</t>
        </is>
      </c>
      <c r="H66" s="289" t="inlineStr">
        <is>
          <t>D</t>
        </is>
      </c>
      <c r="I66" s="289" t="inlineStr">
        <is>
          <t>M</t>
        </is>
      </c>
      <c r="J66" s="289" t="n">
        <v>3</v>
      </c>
      <c r="K66" s="49" t="n">
        <v>451000</v>
      </c>
      <c r="L66" s="49" t="inlineStr">
        <is>
          <t>GOLD</t>
        </is>
      </c>
      <c r="M66" s="289" t="inlineStr">
        <is>
          <t>DDD</t>
        </is>
      </c>
      <c r="N66" s="49" t="inlineStr">
        <is>
          <t>MH02CL5262</t>
        </is>
      </c>
      <c r="O66" s="49" t="n">
        <v>5262</v>
      </c>
      <c r="P66" s="289" t="inlineStr">
        <is>
          <t>E2</t>
        </is>
      </c>
      <c r="S66" s="289">
        <f>S65+1</f>
        <v/>
      </c>
    </row>
    <row r="67" ht="14.4" customFormat="1" customHeight="1" s="289">
      <c r="A67" s="311" t="n">
        <v>45758</v>
      </c>
      <c r="B67" s="303" t="n"/>
      <c r="C67" s="48" t="inlineStr">
        <is>
          <t>HOND</t>
        </is>
      </c>
      <c r="D67" s="49" t="inlineStr">
        <is>
          <t>WRV</t>
        </is>
      </c>
      <c r="E67" s="289" t="n">
        <v>2017</v>
      </c>
      <c r="G67" s="48" t="inlineStr">
        <is>
          <t>1.2 SMT</t>
        </is>
      </c>
      <c r="H67" s="289" t="inlineStr">
        <is>
          <t>P</t>
        </is>
      </c>
      <c r="I67" s="289" t="inlineStr">
        <is>
          <t>M</t>
        </is>
      </c>
      <c r="J67" s="289" t="n">
        <v>3</v>
      </c>
      <c r="K67" s="49" t="n">
        <v>369000</v>
      </c>
      <c r="L67" s="49" t="inlineStr">
        <is>
          <t>RED</t>
        </is>
      </c>
      <c r="M67" s="289" t="inlineStr">
        <is>
          <t>DDD</t>
        </is>
      </c>
      <c r="N67" s="49" t="inlineStr">
        <is>
          <t>MH04HX5457</t>
        </is>
      </c>
      <c r="O67" s="49" t="n">
        <v>5457</v>
      </c>
      <c r="S67" s="289">
        <f>S66+1</f>
        <v/>
      </c>
    </row>
    <row r="68" ht="14.4" customHeight="1" s="268">
      <c r="A68" s="311" t="n">
        <v>45758</v>
      </c>
      <c r="B68" s="303" t="n"/>
      <c r="C68" s="48" t="inlineStr">
        <is>
          <t>HUYN</t>
        </is>
      </c>
      <c r="D68" s="49" t="inlineStr">
        <is>
          <t>I 20</t>
        </is>
      </c>
      <c r="E68" s="289" t="n">
        <v>2013</v>
      </c>
      <c r="F68" s="289" t="n"/>
      <c r="G68" s="48" t="inlineStr">
        <is>
          <t>SPORT</t>
        </is>
      </c>
      <c r="H68" s="289" t="inlineStr">
        <is>
          <t>CR</t>
        </is>
      </c>
      <c r="I68" s="289" t="inlineStr">
        <is>
          <t>M</t>
        </is>
      </c>
      <c r="J68" s="289" t="n">
        <v>4</v>
      </c>
      <c r="K68" s="49" t="n">
        <v>159000</v>
      </c>
      <c r="L68" s="49" t="inlineStr">
        <is>
          <t>WHITE</t>
        </is>
      </c>
      <c r="M68" s="289" t="inlineStr">
        <is>
          <t>DDD</t>
        </is>
      </c>
      <c r="N68" s="49" t="inlineStr">
        <is>
          <t>MH02CW2587</t>
        </is>
      </c>
      <c r="O68" s="49" t="n">
        <v>2587</v>
      </c>
      <c r="P68" s="289" t="inlineStr">
        <is>
          <t>Z1</t>
        </is>
      </c>
      <c r="Q68" s="289" t="n"/>
      <c r="R68" s="289" t="n"/>
      <c r="S68" s="289">
        <f>S67+1</f>
        <v/>
      </c>
    </row>
    <row r="69" ht="14.4" customFormat="1" customHeight="1" s="289">
      <c r="A69" s="311" t="n">
        <v>45758</v>
      </c>
      <c r="B69" s="303" t="n"/>
      <c r="C69" s="48" t="n"/>
      <c r="D69" s="49" t="n"/>
      <c r="G69" s="48" t="n"/>
      <c r="K69" s="49" t="n">
        <v>0</v>
      </c>
      <c r="L69" s="49" t="n"/>
      <c r="M69" s="289" t="inlineStr">
        <is>
          <t>DDD</t>
        </is>
      </c>
      <c r="N69" s="49" t="n"/>
      <c r="O69" s="49" t="n">
        <v>3026</v>
      </c>
      <c r="P69" s="289" t="inlineStr">
        <is>
          <t>M2</t>
        </is>
      </c>
      <c r="S69" s="289">
        <f>S68+1</f>
        <v/>
      </c>
    </row>
    <row r="70" ht="14.4" customFormat="1" customHeight="1" s="289">
      <c r="A70" s="311" t="n">
        <v>45758</v>
      </c>
      <c r="B70" s="303" t="n"/>
      <c r="C70" s="48" t="inlineStr">
        <is>
          <t xml:space="preserve">AUDI </t>
        </is>
      </c>
      <c r="D70" s="49" t="inlineStr">
        <is>
          <t>Q7</t>
        </is>
      </c>
      <c r="E70" s="289" t="n">
        <v>2011</v>
      </c>
      <c r="G70" s="48" t="n"/>
      <c r="H70" s="289" t="inlineStr">
        <is>
          <t>D</t>
        </is>
      </c>
      <c r="I70" s="289" t="inlineStr">
        <is>
          <t>M</t>
        </is>
      </c>
      <c r="J70" s="289" t="n">
        <v>3</v>
      </c>
      <c r="K70" s="49" t="n">
        <v>430000</v>
      </c>
      <c r="L70" s="49" t="inlineStr">
        <is>
          <t>WHI</t>
        </is>
      </c>
      <c r="M70" s="289" t="inlineStr">
        <is>
          <t>DDD</t>
        </is>
      </c>
      <c r="N70" s="49" t="inlineStr">
        <is>
          <t>MH02CD9999</t>
        </is>
      </c>
      <c r="O70" s="49" t="n">
        <v>9999</v>
      </c>
      <c r="P70" s="289" t="inlineStr">
        <is>
          <t>Z1</t>
        </is>
      </c>
      <c r="S70" s="289">
        <f>S69+1</f>
        <v/>
      </c>
    </row>
    <row r="71" ht="14.4" customFormat="1" customHeight="1" s="289">
      <c r="A71" s="311" t="n">
        <v>45759</v>
      </c>
      <c r="B71" s="303" t="n"/>
      <c r="C71" s="48" t="inlineStr">
        <is>
          <t>VOX</t>
        </is>
      </c>
      <c r="D71" s="48" t="inlineStr">
        <is>
          <t>VENTO</t>
        </is>
      </c>
      <c r="E71" s="48" t="inlineStr">
        <is>
          <t>2011/31</t>
        </is>
      </c>
      <c r="F71" s="48" t="inlineStr">
        <is>
          <t>MAR</t>
        </is>
      </c>
      <c r="G71" s="48" t="inlineStr">
        <is>
          <t>1.6 MPT</t>
        </is>
      </c>
      <c r="H71" s="289" t="inlineStr">
        <is>
          <t>D</t>
        </is>
      </c>
      <c r="I71" s="289" t="inlineStr">
        <is>
          <t>A</t>
        </is>
      </c>
      <c r="J71" s="289" t="n">
        <v>3</v>
      </c>
      <c r="K71" s="49" t="n">
        <v>210000</v>
      </c>
      <c r="L71" s="48" t="inlineStr">
        <is>
          <t>WHITE</t>
        </is>
      </c>
      <c r="M71" s="289" t="inlineStr">
        <is>
          <t>DDD</t>
        </is>
      </c>
      <c r="N71" s="48" t="inlineStr">
        <is>
          <t>MH02BZ7888</t>
        </is>
      </c>
      <c r="O71" s="49" t="n">
        <v>7888</v>
      </c>
      <c r="P71" s="289" t="inlineStr">
        <is>
          <t>V3</t>
        </is>
      </c>
      <c r="Q71" s="48" t="n"/>
      <c r="R71" s="48" t="n"/>
      <c r="S71" s="289">
        <f>S70+1</f>
        <v/>
      </c>
    </row>
    <row r="72" ht="14.4" customFormat="1" customHeight="1" s="289">
      <c r="A72" s="311" t="n">
        <v>45759</v>
      </c>
      <c r="B72" s="303" t="n"/>
      <c r="C72" s="43" t="inlineStr">
        <is>
          <t>HYUN</t>
        </is>
      </c>
      <c r="D72" s="49" t="inlineStr">
        <is>
          <t>I 20</t>
        </is>
      </c>
      <c r="E72" s="290" t="n">
        <v>2010</v>
      </c>
      <c r="F72" s="290" t="n"/>
      <c r="G72" s="43" t="inlineStr">
        <is>
          <t>ASTA</t>
        </is>
      </c>
      <c r="H72" s="290" t="inlineStr">
        <is>
          <t>D</t>
        </is>
      </c>
      <c r="I72" s="290" t="inlineStr">
        <is>
          <t>M</t>
        </is>
      </c>
      <c r="J72" s="290" t="n">
        <v>1</v>
      </c>
      <c r="K72" s="44" t="n">
        <v>215000</v>
      </c>
      <c r="L72" s="44" t="inlineStr">
        <is>
          <t>WHI</t>
        </is>
      </c>
      <c r="M72" s="290" t="inlineStr">
        <is>
          <t>DDD</t>
        </is>
      </c>
      <c r="N72" s="44" t="inlineStr">
        <is>
          <t>MH01AV7878</t>
        </is>
      </c>
      <c r="O72" s="44" t="n">
        <v>7878</v>
      </c>
      <c r="P72" s="290" t="inlineStr">
        <is>
          <t>Y5</t>
        </is>
      </c>
      <c r="Q72" s="290" t="n"/>
      <c r="R72" s="290" t="inlineStr">
        <is>
          <t>PAN</t>
        </is>
      </c>
      <c r="S72" s="289">
        <f>S71+1</f>
        <v/>
      </c>
    </row>
    <row r="73" ht="14.4" customFormat="1" customHeight="1" s="289">
      <c r="A73" s="311" t="n">
        <v>45759</v>
      </c>
      <c r="B73" s="303" t="n"/>
      <c r="C73" s="48" t="inlineStr">
        <is>
          <t>MARU</t>
        </is>
      </c>
      <c r="D73" s="49" t="inlineStr">
        <is>
          <t>IGNIS</t>
        </is>
      </c>
      <c r="E73" s="289" t="n">
        <v>2018</v>
      </c>
      <c r="F73" s="289" t="inlineStr">
        <is>
          <t>EXP</t>
        </is>
      </c>
      <c r="G73" s="48" t="inlineStr">
        <is>
          <t>SIGMA</t>
        </is>
      </c>
      <c r="H73" s="289" t="inlineStr">
        <is>
          <t>P</t>
        </is>
      </c>
      <c r="I73" s="289" t="inlineStr">
        <is>
          <t>M</t>
        </is>
      </c>
      <c r="J73" s="289" t="n">
        <v>2</v>
      </c>
      <c r="K73" s="49" t="n">
        <v>301500</v>
      </c>
      <c r="L73" s="49" t="inlineStr">
        <is>
          <t>GREY</t>
        </is>
      </c>
      <c r="M73" s="289" t="inlineStr">
        <is>
          <t>DDD</t>
        </is>
      </c>
      <c r="N73" s="49" t="inlineStr">
        <is>
          <t>MH05DS7750</t>
        </is>
      </c>
      <c r="O73" s="49" t="n">
        <v>7750</v>
      </c>
      <c r="P73" s="289" t="inlineStr">
        <is>
          <t>Z2</t>
        </is>
      </c>
      <c r="S73" s="289">
        <f>S72+1</f>
        <v/>
      </c>
    </row>
    <row r="74" ht="14.4" customFormat="1" customHeight="1" s="289">
      <c r="A74" s="311" t="n">
        <v>45759</v>
      </c>
      <c r="B74" s="303" t="n"/>
      <c r="C74" s="43" t="inlineStr">
        <is>
          <t>HOND</t>
        </is>
      </c>
      <c r="D74" s="49" t="inlineStr">
        <is>
          <t>CITY</t>
        </is>
      </c>
      <c r="E74" s="289" t="n">
        <v>2016</v>
      </c>
      <c r="G74" s="48" t="inlineStr">
        <is>
          <t xml:space="preserve">1.5 VX </t>
        </is>
      </c>
      <c r="H74" s="289" t="inlineStr">
        <is>
          <t>SCR</t>
        </is>
      </c>
      <c r="I74" s="289" t="inlineStr">
        <is>
          <t>A</t>
        </is>
      </c>
      <c r="J74" s="289" t="n">
        <v>3</v>
      </c>
      <c r="K74" s="49" t="n">
        <v>429000</v>
      </c>
      <c r="L74" s="49" t="inlineStr">
        <is>
          <t>BROW</t>
        </is>
      </c>
      <c r="M74" s="289" t="inlineStr">
        <is>
          <t>DDD</t>
        </is>
      </c>
      <c r="N74" s="49" t="inlineStr">
        <is>
          <t>MH02EE3085</t>
        </is>
      </c>
      <c r="O74" s="49" t="n">
        <v>3085</v>
      </c>
      <c r="S74" s="289">
        <f>S73+1</f>
        <v/>
      </c>
    </row>
    <row r="75" ht="14.4" customFormat="1" customHeight="1" s="289">
      <c r="A75" s="311" t="n">
        <v>45759</v>
      </c>
      <c r="B75" s="303" t="n"/>
      <c r="C75" s="43" t="inlineStr">
        <is>
          <t>MARU</t>
        </is>
      </c>
      <c r="D75" s="44" t="inlineStr">
        <is>
          <t>DESIRE</t>
        </is>
      </c>
      <c r="E75" s="290" t="inlineStr">
        <is>
          <t>2009/29</t>
        </is>
      </c>
      <c r="F75" s="290" t="n"/>
      <c r="G75" s="43" t="inlineStr">
        <is>
          <t>VXI</t>
        </is>
      </c>
      <c r="H75" s="290" t="inlineStr">
        <is>
          <t>CR</t>
        </is>
      </c>
      <c r="I75" s="290" t="inlineStr">
        <is>
          <t>M</t>
        </is>
      </c>
      <c r="J75" s="290" t="n">
        <v>3</v>
      </c>
      <c r="K75" s="44" t="n">
        <v>164000</v>
      </c>
      <c r="L75" s="44" t="inlineStr">
        <is>
          <t>SIL</t>
        </is>
      </c>
      <c r="M75" s="290" t="inlineStr">
        <is>
          <t>DDD</t>
        </is>
      </c>
      <c r="N75" s="44" t="inlineStr">
        <is>
          <t>MH43X5738</t>
        </is>
      </c>
      <c r="O75" s="44" t="n">
        <v>5738</v>
      </c>
      <c r="P75" s="290" t="n"/>
      <c r="Q75" s="290" t="n"/>
      <c r="R75" s="290" t="n"/>
      <c r="S75" s="289">
        <f>S74+1</f>
        <v/>
      </c>
    </row>
    <row r="76" ht="14.4" customFormat="1" customHeight="1" s="289">
      <c r="A76" s="311" t="n">
        <v>45760</v>
      </c>
      <c r="B76" s="303" t="n"/>
      <c r="C76" s="43" t="inlineStr">
        <is>
          <t xml:space="preserve">AUDI </t>
        </is>
      </c>
      <c r="D76" s="44" t="inlineStr">
        <is>
          <t>A4</t>
        </is>
      </c>
      <c r="E76" s="290" t="inlineStr">
        <is>
          <t>2012/04</t>
        </is>
      </c>
      <c r="F76" s="290" t="n"/>
      <c r="G76" s="43" t="inlineStr">
        <is>
          <t>2.0 TDI</t>
        </is>
      </c>
      <c r="H76" s="290" t="inlineStr">
        <is>
          <t>D</t>
        </is>
      </c>
      <c r="I76" s="290" t="inlineStr">
        <is>
          <t>A</t>
        </is>
      </c>
      <c r="J76" s="290" t="n">
        <v>1</v>
      </c>
      <c r="K76" s="44" t="n">
        <v>525000</v>
      </c>
      <c r="L76" s="44" t="inlineStr">
        <is>
          <t>WHI</t>
        </is>
      </c>
      <c r="M76" s="290" t="inlineStr">
        <is>
          <t>DDD</t>
        </is>
      </c>
      <c r="N76" s="44" t="inlineStr">
        <is>
          <t>MH04FF5186</t>
        </is>
      </c>
      <c r="O76" s="44" t="n">
        <v>5186</v>
      </c>
      <c r="P76" s="290" t="inlineStr">
        <is>
          <t>SAM</t>
        </is>
      </c>
      <c r="Q76" s="290" t="n"/>
      <c r="R76" s="290" t="n"/>
      <c r="S76" s="289">
        <f>S75+1</f>
        <v/>
      </c>
    </row>
    <row r="77" ht="14.4" customFormat="1" customHeight="1" s="289">
      <c r="A77" s="311" t="n">
        <v>45760</v>
      </c>
      <c r="B77" s="303" t="n"/>
      <c r="C77" s="48" t="inlineStr">
        <is>
          <t>MARU</t>
        </is>
      </c>
      <c r="D77" s="49" t="inlineStr">
        <is>
          <t>EIRTIGA</t>
        </is>
      </c>
      <c r="E77" s="289" t="n">
        <v>2016</v>
      </c>
      <c r="F77" s="289" t="inlineStr">
        <is>
          <t>LOAN</t>
        </is>
      </c>
      <c r="G77" s="48" t="inlineStr">
        <is>
          <t>VXI</t>
        </is>
      </c>
      <c r="H77" s="289" t="inlineStr">
        <is>
          <t>PC</t>
        </is>
      </c>
      <c r="I77" s="289" t="inlineStr">
        <is>
          <t>M</t>
        </is>
      </c>
      <c r="J77" s="289" t="n">
        <v>3</v>
      </c>
      <c r="K77" s="49" t="n">
        <v>499000</v>
      </c>
      <c r="L77" s="49" t="inlineStr">
        <is>
          <t>GREY</t>
        </is>
      </c>
      <c r="M77" s="289" t="inlineStr">
        <is>
          <t>DDD</t>
        </is>
      </c>
      <c r="N77" s="49" t="inlineStr">
        <is>
          <t>MH43BE7091</t>
        </is>
      </c>
      <c r="O77" s="49" t="n">
        <v>7091</v>
      </c>
      <c r="P77" s="289" t="inlineStr">
        <is>
          <t>Y2</t>
        </is>
      </c>
      <c r="S77" s="289">
        <f>S76+1</f>
        <v/>
      </c>
    </row>
    <row r="78" ht="14.4" customFormat="1" customHeight="1" s="289">
      <c r="A78" s="311" t="n">
        <v>45761</v>
      </c>
      <c r="B78" s="303" t="n"/>
      <c r="C78" s="48" t="inlineStr">
        <is>
          <t>MAHI</t>
        </is>
      </c>
      <c r="D78" s="49" t="inlineStr">
        <is>
          <t>SCORPIO</t>
        </is>
      </c>
      <c r="E78" s="289" t="n">
        <v>2011</v>
      </c>
      <c r="F78" s="289" t="inlineStr">
        <is>
          <t>JAN</t>
        </is>
      </c>
      <c r="G78" s="48" t="inlineStr">
        <is>
          <t>2.5 LX 2</t>
        </is>
      </c>
      <c r="H78" s="289" t="inlineStr">
        <is>
          <t>D</t>
        </is>
      </c>
      <c r="I78" s="289" t="inlineStr">
        <is>
          <t>M</t>
        </is>
      </c>
      <c r="J78" s="289" t="n">
        <v>2</v>
      </c>
      <c r="K78" s="49" t="n">
        <v>318000</v>
      </c>
      <c r="L78" s="49" t="inlineStr">
        <is>
          <t>SIL</t>
        </is>
      </c>
      <c r="M78" s="289" t="inlineStr">
        <is>
          <t>DDD</t>
        </is>
      </c>
      <c r="N78" s="49" t="inlineStr">
        <is>
          <t>MH06AZ5668</t>
        </is>
      </c>
      <c r="O78" s="49" t="n">
        <v>5668</v>
      </c>
      <c r="P78" s="289" t="n">
        <v>1111</v>
      </c>
      <c r="S78" s="289">
        <f>S77+1</f>
        <v/>
      </c>
    </row>
    <row r="79" ht="14.4" customFormat="1" customHeight="1" s="289">
      <c r="A79" s="311" t="n">
        <v>45762</v>
      </c>
      <c r="B79" s="303" t="n"/>
      <c r="C79" s="48" t="inlineStr">
        <is>
          <t>TOYO</t>
        </is>
      </c>
      <c r="D79" s="49" t="inlineStr">
        <is>
          <t>ETIOS LIVA</t>
        </is>
      </c>
      <c r="E79" s="289" t="n">
        <v>2012</v>
      </c>
      <c r="G79" s="48" t="inlineStr">
        <is>
          <t>VX</t>
        </is>
      </c>
      <c r="H79" s="289" t="inlineStr">
        <is>
          <t>P</t>
        </is>
      </c>
      <c r="I79" s="289" t="inlineStr">
        <is>
          <t>M</t>
        </is>
      </c>
      <c r="J79" s="289" t="n">
        <v>3</v>
      </c>
      <c r="K79" s="49" t="n">
        <v>196000</v>
      </c>
      <c r="L79" s="49" t="inlineStr">
        <is>
          <t>WHI</t>
        </is>
      </c>
      <c r="M79" s="289" t="inlineStr">
        <is>
          <t>DDD</t>
        </is>
      </c>
      <c r="N79" s="49" t="inlineStr">
        <is>
          <t>MH46P6113</t>
        </is>
      </c>
      <c r="O79" s="49" t="n">
        <v>6113</v>
      </c>
      <c r="P79" s="289" t="inlineStr">
        <is>
          <t>Z1</t>
        </is>
      </c>
      <c r="S79" s="289">
        <f>S78+1</f>
        <v/>
      </c>
    </row>
    <row r="80" ht="14.4" customFormat="1" customHeight="1" s="289">
      <c r="A80" s="311" t="n">
        <v>45763</v>
      </c>
      <c r="B80" s="303" t="n"/>
      <c r="C80" s="48" t="inlineStr">
        <is>
          <t>TOYO</t>
        </is>
      </c>
      <c r="D80" s="49" t="inlineStr">
        <is>
          <t>INNOVA</t>
        </is>
      </c>
      <c r="E80" s="289" t="inlineStr">
        <is>
          <t>2007/27</t>
        </is>
      </c>
      <c r="F80" s="289" t="inlineStr">
        <is>
          <t>EXP</t>
        </is>
      </c>
      <c r="G80" s="48" t="inlineStr">
        <is>
          <t>2.5G</t>
        </is>
      </c>
      <c r="H80" s="289" t="inlineStr">
        <is>
          <t>D</t>
        </is>
      </c>
      <c r="I80" s="289" t="inlineStr">
        <is>
          <t>M</t>
        </is>
      </c>
      <c r="J80" s="289" t="n">
        <v>3</v>
      </c>
      <c r="K80" s="49" t="n">
        <v>218000</v>
      </c>
      <c r="L80" s="49" t="inlineStr">
        <is>
          <t>SIL</t>
        </is>
      </c>
      <c r="M80" s="289" t="inlineStr">
        <is>
          <t>DDD</t>
        </is>
      </c>
      <c r="N80" s="49" t="inlineStr">
        <is>
          <t>MH04DB4201</t>
        </is>
      </c>
      <c r="O80" s="49" t="n">
        <v>4201</v>
      </c>
      <c r="S80" s="289">
        <f>S79+1</f>
        <v/>
      </c>
    </row>
    <row r="81" ht="14.4" customFormat="1" customHeight="1" s="289">
      <c r="A81" s="311" t="n">
        <v>45763</v>
      </c>
      <c r="B81" s="303" t="n"/>
      <c r="C81" s="43" t="inlineStr">
        <is>
          <t>HOND</t>
        </is>
      </c>
      <c r="D81" s="44" t="inlineStr">
        <is>
          <t>CITY</t>
        </is>
      </c>
      <c r="E81" s="290" t="n">
        <v>2008</v>
      </c>
      <c r="F81" s="290" t="n"/>
      <c r="G81" s="43" t="inlineStr">
        <is>
          <t>ZX</t>
        </is>
      </c>
      <c r="H81" s="290" t="inlineStr">
        <is>
          <t>P</t>
        </is>
      </c>
      <c r="I81" s="290" t="inlineStr">
        <is>
          <t>M</t>
        </is>
      </c>
      <c r="J81" s="290" t="n"/>
      <c r="K81" s="44" t="n">
        <v>112500</v>
      </c>
      <c r="L81" s="44" t="inlineStr">
        <is>
          <t>GREY</t>
        </is>
      </c>
      <c r="M81" s="290" t="inlineStr">
        <is>
          <t>DDD</t>
        </is>
      </c>
      <c r="N81" s="44" t="inlineStr">
        <is>
          <t>MH02JP8458</t>
        </is>
      </c>
      <c r="O81" s="44" t="n">
        <v>8458</v>
      </c>
      <c r="P81" s="290" t="n"/>
      <c r="Q81" s="290" t="n"/>
      <c r="R81" s="290" t="n"/>
      <c r="S81" s="289">
        <f>S80+1</f>
        <v/>
      </c>
    </row>
    <row r="82" ht="14.4" customFormat="1" customHeight="1" s="289">
      <c r="A82" s="311" t="n">
        <v>45763</v>
      </c>
      <c r="B82" s="303" t="n"/>
      <c r="C82" s="43" t="inlineStr">
        <is>
          <t>HYUN</t>
        </is>
      </c>
      <c r="D82" s="44" t="inlineStr">
        <is>
          <t>I 20</t>
        </is>
      </c>
      <c r="E82" s="290" t="n">
        <v>2013</v>
      </c>
      <c r="F82" s="290" t="n"/>
      <c r="G82" s="43" t="inlineStr">
        <is>
          <t>MAGNA</t>
        </is>
      </c>
      <c r="H82" s="290" t="inlineStr">
        <is>
          <t>CR</t>
        </is>
      </c>
      <c r="I82" s="290" t="inlineStr">
        <is>
          <t>M</t>
        </is>
      </c>
      <c r="J82" s="290" t="n">
        <v>3</v>
      </c>
      <c r="K82" s="44" t="n">
        <v>199000</v>
      </c>
      <c r="L82" s="44" t="inlineStr">
        <is>
          <t>BLUE</t>
        </is>
      </c>
      <c r="M82" s="290" t="inlineStr">
        <is>
          <t>DDD</t>
        </is>
      </c>
      <c r="N82" s="49" t="inlineStr">
        <is>
          <t>MH03BJ0250</t>
        </is>
      </c>
      <c r="O82" s="28" t="n">
        <v>250</v>
      </c>
      <c r="P82" s="290" t="n"/>
      <c r="Q82" s="290" t="n"/>
      <c r="R82" s="290" t="n"/>
      <c r="S82" s="289">
        <f>S81+1</f>
        <v/>
      </c>
    </row>
    <row r="83" ht="14.4" customFormat="1" customHeight="1" s="289">
      <c r="A83" s="311" t="n">
        <v>45763</v>
      </c>
      <c r="B83" s="303" t="n"/>
      <c r="C83" s="43" t="inlineStr">
        <is>
          <t>MARU</t>
        </is>
      </c>
      <c r="D83" s="44" t="inlineStr">
        <is>
          <t>SWIFT</t>
        </is>
      </c>
      <c r="E83" s="290" t="n">
        <v>2015</v>
      </c>
      <c r="F83" s="290" t="n"/>
      <c r="G83" s="43" t="inlineStr">
        <is>
          <t>VXI</t>
        </is>
      </c>
      <c r="H83" s="290" t="inlineStr">
        <is>
          <t>P</t>
        </is>
      </c>
      <c r="I83" s="290" t="inlineStr">
        <is>
          <t>M</t>
        </is>
      </c>
      <c r="J83" s="290" t="n">
        <v>3</v>
      </c>
      <c r="K83" s="44" t="n">
        <v>270000</v>
      </c>
      <c r="L83" s="44" t="inlineStr">
        <is>
          <t>GRE</t>
        </is>
      </c>
      <c r="M83" s="290" t="inlineStr">
        <is>
          <t>DDD</t>
        </is>
      </c>
      <c r="N83" s="44" t="inlineStr">
        <is>
          <t>MH01CD4065</t>
        </is>
      </c>
      <c r="O83" s="44" t="n">
        <v>4065</v>
      </c>
      <c r="P83" s="290" t="n"/>
      <c r="Q83" s="290" t="n"/>
      <c r="R83" s="290" t="n"/>
      <c r="S83" s="289">
        <f>S82+1</f>
        <v/>
      </c>
    </row>
    <row r="84" ht="14.4" customFormat="1" customHeight="1" s="289">
      <c r="A84" s="311" t="n">
        <v>45763</v>
      </c>
      <c r="B84" s="303" t="n"/>
      <c r="C84" s="49" t="inlineStr">
        <is>
          <t>MERC</t>
        </is>
      </c>
      <c r="D84" s="49" t="inlineStr">
        <is>
          <t>B 180</t>
        </is>
      </c>
      <c r="E84" s="289" t="n">
        <v>2013</v>
      </c>
      <c r="G84" s="48" t="inlineStr">
        <is>
          <t>CDI</t>
        </is>
      </c>
      <c r="H84" s="289" t="inlineStr">
        <is>
          <t>D</t>
        </is>
      </c>
      <c r="I84" s="289" t="inlineStr">
        <is>
          <t>A</t>
        </is>
      </c>
      <c r="J84" s="289" t="n">
        <v>2</v>
      </c>
      <c r="K84" s="49" t="n">
        <v>599000</v>
      </c>
      <c r="L84" s="49" t="inlineStr">
        <is>
          <t>GREY</t>
        </is>
      </c>
      <c r="M84" s="289" t="inlineStr">
        <is>
          <t>DDD</t>
        </is>
      </c>
      <c r="N84" s="49" t="inlineStr">
        <is>
          <t>MH02DE8118</t>
        </is>
      </c>
      <c r="O84" s="39" t="n">
        <v>8118</v>
      </c>
      <c r="S84" s="289">
        <f>S83+1</f>
        <v/>
      </c>
    </row>
    <row r="85" ht="14.4" customFormat="1" customHeight="1" s="289">
      <c r="A85" s="311" t="n">
        <v>45764</v>
      </c>
      <c r="B85" s="303" t="n"/>
      <c r="C85" s="48" t="inlineStr">
        <is>
          <t>MERC</t>
        </is>
      </c>
      <c r="D85" s="49" t="inlineStr">
        <is>
          <t>W212</t>
        </is>
      </c>
      <c r="E85" s="289" t="inlineStr">
        <is>
          <t>2010/30</t>
        </is>
      </c>
      <c r="F85" s="50" t="n">
        <v>46235</v>
      </c>
      <c r="G85" s="48" t="inlineStr">
        <is>
          <t>E250</t>
        </is>
      </c>
      <c r="H85" s="289" t="inlineStr">
        <is>
          <t>P</t>
        </is>
      </c>
      <c r="I85" s="289" t="inlineStr">
        <is>
          <t>A</t>
        </is>
      </c>
      <c r="J85" s="289" t="n">
        <v>2</v>
      </c>
      <c r="K85" s="49" t="n">
        <v>403000</v>
      </c>
      <c r="L85" s="49" t="inlineStr">
        <is>
          <t>BLACK</t>
        </is>
      </c>
      <c r="M85" s="289" t="inlineStr">
        <is>
          <t>DDD</t>
        </is>
      </c>
      <c r="N85" s="49" t="inlineStr">
        <is>
          <t>MH02BT0774</t>
        </is>
      </c>
      <c r="O85" s="49" t="n">
        <v>774</v>
      </c>
      <c r="S85" s="289">
        <f>S84+1</f>
        <v/>
      </c>
    </row>
    <row r="86" ht="14.4" customFormat="1" customHeight="1" s="289">
      <c r="A86" s="311" t="n">
        <v>45765</v>
      </c>
      <c r="B86" s="303" t="n"/>
      <c r="C86" s="48" t="inlineStr">
        <is>
          <t>HOND</t>
        </is>
      </c>
      <c r="D86" s="49" t="inlineStr">
        <is>
          <t>BRV</t>
        </is>
      </c>
      <c r="E86" s="289" t="n">
        <v>2017</v>
      </c>
      <c r="F86" s="289" t="inlineStr">
        <is>
          <t>JAN</t>
        </is>
      </c>
      <c r="G86" s="48" t="inlineStr">
        <is>
          <t>1.5 SMT</t>
        </is>
      </c>
      <c r="H86" s="289" t="inlineStr">
        <is>
          <t>D</t>
        </is>
      </c>
      <c r="I86" s="289" t="inlineStr">
        <is>
          <t>M</t>
        </is>
      </c>
      <c r="J86" s="289" t="n">
        <v>1</v>
      </c>
      <c r="K86" s="49" t="n">
        <v>601500</v>
      </c>
      <c r="L86" s="49" t="inlineStr">
        <is>
          <t>SIL</t>
        </is>
      </c>
      <c r="M86" s="289" t="inlineStr">
        <is>
          <t>DDD</t>
        </is>
      </c>
      <c r="N86" s="49" t="inlineStr">
        <is>
          <t>MH03CM0628</t>
        </is>
      </c>
      <c r="O86" s="39" t="n">
        <v>628</v>
      </c>
      <c r="P86" s="289" t="inlineStr">
        <is>
          <t>D1</t>
        </is>
      </c>
      <c r="S86" s="289">
        <f>S85+1</f>
        <v/>
      </c>
    </row>
    <row r="87" ht="14.4" customFormat="1" customHeight="1" s="289">
      <c r="A87" s="311" t="n">
        <v>45765</v>
      </c>
      <c r="B87" s="303" t="n"/>
      <c r="C87" s="48" t="inlineStr">
        <is>
          <t>TATA</t>
        </is>
      </c>
      <c r="D87" s="49" t="inlineStr">
        <is>
          <t>NEXON</t>
        </is>
      </c>
      <c r="E87" s="289" t="n">
        <v>2018</v>
      </c>
      <c r="G87" s="48" t="n"/>
      <c r="H87" s="289" t="inlineStr">
        <is>
          <t>P</t>
        </is>
      </c>
      <c r="I87" s="289" t="inlineStr">
        <is>
          <t>M</t>
        </is>
      </c>
      <c r="J87" s="289" t="n">
        <v>2</v>
      </c>
      <c r="K87" s="49" t="n">
        <v>469000</v>
      </c>
      <c r="L87" s="49" t="inlineStr">
        <is>
          <t>BLU</t>
        </is>
      </c>
      <c r="M87" s="289" t="inlineStr">
        <is>
          <t>DDD</t>
        </is>
      </c>
      <c r="N87" s="49" t="inlineStr">
        <is>
          <t>MH02EU3404</t>
        </is>
      </c>
      <c r="O87" s="39" t="n">
        <v>3404</v>
      </c>
      <c r="P87" s="289" t="inlineStr">
        <is>
          <t>Y1</t>
        </is>
      </c>
      <c r="S87" s="289">
        <f>S86+1</f>
        <v/>
      </c>
    </row>
    <row r="88" ht="14.4" customFormat="1" customHeight="1" s="289">
      <c r="A88" s="311" t="n">
        <v>45765</v>
      </c>
      <c r="B88" s="303" t="n"/>
      <c r="C88" s="48" t="inlineStr">
        <is>
          <t>MERC</t>
        </is>
      </c>
      <c r="D88" s="49" t="inlineStr">
        <is>
          <t>A 180</t>
        </is>
      </c>
      <c r="E88" s="289" t="n">
        <v>2013</v>
      </c>
      <c r="F88" s="289" t="inlineStr">
        <is>
          <t>EXP</t>
        </is>
      </c>
      <c r="G88" s="48" t="inlineStr">
        <is>
          <t>SPORT</t>
        </is>
      </c>
      <c r="H88" s="289" t="inlineStr">
        <is>
          <t>P</t>
        </is>
      </c>
      <c r="I88" s="289" t="inlineStr">
        <is>
          <t>A</t>
        </is>
      </c>
      <c r="J88" s="289" t="n">
        <v>3</v>
      </c>
      <c r="K88" s="49" t="n">
        <v>499000</v>
      </c>
      <c r="L88" s="49" t="inlineStr">
        <is>
          <t>RED</t>
        </is>
      </c>
      <c r="M88" s="289" t="inlineStr">
        <is>
          <t>DDD</t>
        </is>
      </c>
      <c r="N88" s="49" t="inlineStr">
        <is>
          <t>MH01BG6886</t>
        </is>
      </c>
      <c r="O88" s="49" t="n">
        <v>6886</v>
      </c>
      <c r="P88" s="289" t="inlineStr">
        <is>
          <t>Y3</t>
        </is>
      </c>
      <c r="S88" s="289">
        <f>S87+1</f>
        <v/>
      </c>
    </row>
    <row r="89" ht="14.4" customFormat="1" customHeight="1" s="289">
      <c r="A89" s="311" t="n">
        <v>45765</v>
      </c>
      <c r="B89" s="303" t="n"/>
      <c r="C89" s="43" t="inlineStr">
        <is>
          <t>HOND</t>
        </is>
      </c>
      <c r="D89" s="49" t="inlineStr">
        <is>
          <t>CITY</t>
        </is>
      </c>
      <c r="E89" s="289" t="n">
        <v>2018</v>
      </c>
      <c r="G89" s="48" t="inlineStr">
        <is>
          <t>1.5 IVTEC</t>
        </is>
      </c>
      <c r="H89" s="289" t="inlineStr">
        <is>
          <t>SP</t>
        </is>
      </c>
      <c r="I89" s="289" t="inlineStr">
        <is>
          <t>A</t>
        </is>
      </c>
      <c r="J89" s="289" t="n">
        <v>3</v>
      </c>
      <c r="K89" s="49" t="n">
        <v>499000</v>
      </c>
      <c r="L89" s="49" t="inlineStr">
        <is>
          <t>BROW</t>
        </is>
      </c>
      <c r="M89" s="289" t="inlineStr">
        <is>
          <t>DDD</t>
        </is>
      </c>
      <c r="N89" s="49" t="inlineStr">
        <is>
          <t>MH03DA0551</t>
        </is>
      </c>
      <c r="O89" s="49" t="n">
        <v>551</v>
      </c>
      <c r="Q89" s="289" t="inlineStr">
        <is>
          <t>SU</t>
        </is>
      </c>
      <c r="S89" s="289">
        <f>S88+1</f>
        <v/>
      </c>
    </row>
    <row r="90" ht="14.4" customFormat="1" customHeight="1" s="289">
      <c r="A90" s="311" t="n">
        <v>45765</v>
      </c>
      <c r="B90" s="303" t="n"/>
      <c r="C90" s="48" t="inlineStr">
        <is>
          <t>TOYO</t>
        </is>
      </c>
      <c r="D90" s="49" t="inlineStr">
        <is>
          <t>ETIOS</t>
        </is>
      </c>
      <c r="E90" s="289" t="n">
        <v>2012</v>
      </c>
      <c r="G90" s="48" t="inlineStr">
        <is>
          <t>V BS IV</t>
        </is>
      </c>
      <c r="H90" s="289" t="inlineStr">
        <is>
          <t>P</t>
        </is>
      </c>
      <c r="I90" s="289" t="inlineStr">
        <is>
          <t>M</t>
        </is>
      </c>
      <c r="J90" s="289" t="n">
        <v>2</v>
      </c>
      <c r="K90" s="49" t="n">
        <v>197000</v>
      </c>
      <c r="L90" s="49" t="inlineStr">
        <is>
          <t>WHIT</t>
        </is>
      </c>
      <c r="M90" s="289" t="inlineStr">
        <is>
          <t>DDD</t>
        </is>
      </c>
      <c r="N90" s="49" t="inlineStr">
        <is>
          <t>MH03BE3500</t>
        </is>
      </c>
      <c r="O90" s="39" t="n">
        <v>3500</v>
      </c>
      <c r="P90" s="289" t="inlineStr">
        <is>
          <t>Z2</t>
        </is>
      </c>
      <c r="S90" s="289">
        <f>S89+1</f>
        <v/>
      </c>
    </row>
    <row r="91" ht="14.4" customFormat="1" customHeight="1" s="289">
      <c r="A91" s="311" t="n">
        <v>45765</v>
      </c>
      <c r="B91" s="303" t="n"/>
      <c r="C91" s="48" t="inlineStr">
        <is>
          <t>HYUN</t>
        </is>
      </c>
      <c r="D91" s="49" t="inlineStr">
        <is>
          <t>I 20</t>
        </is>
      </c>
      <c r="E91" s="289" t="n">
        <v>2017</v>
      </c>
      <c r="G91" s="48" t="inlineStr">
        <is>
          <t>SPORTZ</t>
        </is>
      </c>
      <c r="H91" s="289" t="inlineStr">
        <is>
          <t>P</t>
        </is>
      </c>
      <c r="I91" s="289" t="inlineStr">
        <is>
          <t>M</t>
        </is>
      </c>
      <c r="J91" s="289" t="n">
        <v>2</v>
      </c>
      <c r="K91" s="49" t="n">
        <v>407000</v>
      </c>
      <c r="L91" s="49" t="inlineStr">
        <is>
          <t>WHIT</t>
        </is>
      </c>
      <c r="M91" s="289" t="inlineStr">
        <is>
          <t>DDD</t>
        </is>
      </c>
      <c r="N91" s="49" t="inlineStr">
        <is>
          <t>MH01DH1618</t>
        </is>
      </c>
      <c r="O91" s="49" t="n">
        <v>1618</v>
      </c>
      <c r="S91" s="289">
        <f>S90+1</f>
        <v/>
      </c>
    </row>
    <row r="92" ht="14.4" customFormat="1" customHeight="1" s="289">
      <c r="A92" s="311" t="n">
        <v>45765</v>
      </c>
      <c r="B92" s="303" t="n"/>
      <c r="C92" s="43" t="inlineStr">
        <is>
          <t>MARU</t>
        </is>
      </c>
      <c r="D92" s="44" t="inlineStr">
        <is>
          <t>SWIFT</t>
        </is>
      </c>
      <c r="E92" s="290" t="n">
        <v>2015</v>
      </c>
      <c r="F92" s="290" t="n"/>
      <c r="G92" s="43" t="inlineStr">
        <is>
          <t>ZXI</t>
        </is>
      </c>
      <c r="H92" s="290" t="inlineStr">
        <is>
          <t>P</t>
        </is>
      </c>
      <c r="I92" s="290" t="inlineStr">
        <is>
          <t>M</t>
        </is>
      </c>
      <c r="J92" s="290" t="n">
        <v>1</v>
      </c>
      <c r="K92" s="44" t="n">
        <v>304500</v>
      </c>
      <c r="L92" s="44" t="inlineStr">
        <is>
          <t>RED</t>
        </is>
      </c>
      <c r="M92" s="290" t="inlineStr">
        <is>
          <t>DDD</t>
        </is>
      </c>
      <c r="N92" s="44" t="inlineStr">
        <is>
          <t>MH01BY5774</t>
        </is>
      </c>
      <c r="O92" s="28" t="n">
        <v>5774</v>
      </c>
      <c r="P92" s="290" t="inlineStr">
        <is>
          <t>Z1</t>
        </is>
      </c>
      <c r="Q92" s="290" t="n"/>
      <c r="R92" s="290" t="n"/>
      <c r="S92" s="289">
        <f>S91+1</f>
        <v/>
      </c>
    </row>
    <row r="93" ht="14.4" customFormat="1" customHeight="1" s="289">
      <c r="A93" s="311" t="n">
        <v>45768</v>
      </c>
      <c r="B93" s="303" t="n"/>
      <c r="C93" s="48" t="inlineStr">
        <is>
          <t>HOND</t>
        </is>
      </c>
      <c r="D93" s="49" t="inlineStr">
        <is>
          <t>CITY</t>
        </is>
      </c>
      <c r="E93" s="289" t="n">
        <v>2009</v>
      </c>
      <c r="G93" s="48" t="inlineStr">
        <is>
          <t xml:space="preserve">1.5 SMT </t>
        </is>
      </c>
      <c r="H93" s="289" t="inlineStr">
        <is>
          <t xml:space="preserve">P/C </t>
        </is>
      </c>
      <c r="I93" s="289" t="inlineStr">
        <is>
          <t>M</t>
        </is>
      </c>
      <c r="J93" s="289" t="n">
        <v>4</v>
      </c>
      <c r="K93" s="49" t="n">
        <v>125000</v>
      </c>
      <c r="L93" s="49" t="inlineStr">
        <is>
          <t>SILVER</t>
        </is>
      </c>
      <c r="M93" s="289" t="inlineStr">
        <is>
          <t>DDD</t>
        </is>
      </c>
      <c r="N93" s="49" t="inlineStr">
        <is>
          <t>MH43X5809</t>
        </is>
      </c>
      <c r="O93" s="49" t="n">
        <v>5809</v>
      </c>
      <c r="S93" s="289">
        <f>S92+1</f>
        <v/>
      </c>
    </row>
    <row r="94" ht="14.4" customFormat="1" customHeight="1" s="289">
      <c r="A94" s="311" t="n">
        <v>45768</v>
      </c>
      <c r="B94" s="303" t="n"/>
      <c r="C94" s="48" t="inlineStr">
        <is>
          <t>HYUN</t>
        </is>
      </c>
      <c r="D94" s="49" t="inlineStr">
        <is>
          <t>I 10</t>
        </is>
      </c>
      <c r="E94" s="289" t="n">
        <v>2009</v>
      </c>
      <c r="G94" s="48" t="inlineStr">
        <is>
          <t>MAGNA</t>
        </is>
      </c>
      <c r="H94" s="289" t="inlineStr">
        <is>
          <t>P</t>
        </is>
      </c>
      <c r="I94" s="289" t="inlineStr">
        <is>
          <t>M</t>
        </is>
      </c>
      <c r="J94" s="289" t="n">
        <v>2</v>
      </c>
      <c r="K94" s="49" t="n">
        <v>129000</v>
      </c>
      <c r="L94" s="49" t="inlineStr">
        <is>
          <t>GREY</t>
        </is>
      </c>
      <c r="M94" s="289" t="inlineStr">
        <is>
          <t>DDD</t>
        </is>
      </c>
      <c r="N94" s="49" t="inlineStr">
        <is>
          <t>MH01AL1217</t>
        </is>
      </c>
      <c r="O94" s="49" t="n">
        <v>1217</v>
      </c>
      <c r="S94" s="289">
        <f>S93+1</f>
        <v/>
      </c>
    </row>
    <row r="95" ht="14.4" customFormat="1" customHeight="1" s="289">
      <c r="A95" s="311" t="n">
        <v>45768</v>
      </c>
      <c r="B95" s="303" t="n"/>
      <c r="C95" s="48" t="inlineStr">
        <is>
          <t>NEX</t>
        </is>
      </c>
      <c r="D95" s="49" t="inlineStr">
        <is>
          <t>NEXON</t>
        </is>
      </c>
      <c r="E95" s="289" t="n">
        <v>2018</v>
      </c>
      <c r="G95" s="48" t="n"/>
      <c r="H95" s="289" t="inlineStr">
        <is>
          <t xml:space="preserve">P </t>
        </is>
      </c>
      <c r="J95" s="289" t="n">
        <v>1</v>
      </c>
      <c r="K95" s="49" t="n">
        <v>469000</v>
      </c>
      <c r="L95" s="49" t="inlineStr">
        <is>
          <t>WHITE</t>
        </is>
      </c>
      <c r="M95" s="289" t="inlineStr">
        <is>
          <t>DDD</t>
        </is>
      </c>
      <c r="N95" s="49" t="inlineStr">
        <is>
          <t>MH02EU6622</t>
        </is>
      </c>
      <c r="O95" s="49" t="n">
        <v>6622</v>
      </c>
      <c r="S95" s="289">
        <f>S94+1</f>
        <v/>
      </c>
    </row>
    <row r="96" ht="14.4" customFormat="1" customHeight="1" s="289">
      <c r="A96" s="311" t="n">
        <v>45768</v>
      </c>
      <c r="B96" s="303" t="n"/>
      <c r="C96" s="43" t="inlineStr">
        <is>
          <t>HYUN</t>
        </is>
      </c>
      <c r="D96" s="44" t="inlineStr">
        <is>
          <t>I 10 GRAND</t>
        </is>
      </c>
      <c r="E96" s="290" t="n">
        <v>2016</v>
      </c>
      <c r="F96" s="290" t="n"/>
      <c r="G96" s="43" t="inlineStr">
        <is>
          <t>SPORTZ</t>
        </is>
      </c>
      <c r="H96" s="290" t="inlineStr">
        <is>
          <t>D</t>
        </is>
      </c>
      <c r="I96" s="290" t="inlineStr">
        <is>
          <t>M</t>
        </is>
      </c>
      <c r="J96" s="290" t="n">
        <v>1</v>
      </c>
      <c r="K96" s="44" t="n">
        <v>325000</v>
      </c>
      <c r="L96" s="44" t="inlineStr">
        <is>
          <t>GRE</t>
        </is>
      </c>
      <c r="M96" s="290" t="inlineStr">
        <is>
          <t>DDD</t>
        </is>
      </c>
      <c r="N96" s="49" t="inlineStr">
        <is>
          <t>MH04HM0136</t>
        </is>
      </c>
      <c r="O96" s="44" t="n">
        <v>136</v>
      </c>
      <c r="P96" s="290" t="inlineStr">
        <is>
          <t>S6</t>
        </is>
      </c>
      <c r="Q96" s="290" t="n"/>
      <c r="R96" s="290" t="n"/>
      <c r="S96" s="289">
        <f>S95+1</f>
        <v/>
      </c>
    </row>
    <row r="97" ht="12.45" customFormat="1" customHeight="1" s="289">
      <c r="A97" s="311" t="n">
        <v>45769</v>
      </c>
      <c r="B97" s="303" t="n"/>
      <c r="C97" s="48" t="inlineStr">
        <is>
          <t>HOND</t>
        </is>
      </c>
      <c r="D97" s="49" t="inlineStr">
        <is>
          <t>CITY</t>
        </is>
      </c>
      <c r="E97" s="289" t="n">
        <v>2018</v>
      </c>
      <c r="F97" s="289" t="inlineStr">
        <is>
          <t>LOAN</t>
        </is>
      </c>
      <c r="G97" s="48" t="inlineStr">
        <is>
          <t>1.5 IVTEC</t>
        </is>
      </c>
      <c r="H97" s="289" t="inlineStr">
        <is>
          <t>P</t>
        </is>
      </c>
      <c r="I97" s="289" t="inlineStr">
        <is>
          <t>A</t>
        </is>
      </c>
      <c r="J97" s="289" t="n">
        <v>2</v>
      </c>
      <c r="K97" s="49" t="n">
        <v>503000</v>
      </c>
      <c r="L97" s="49" t="inlineStr">
        <is>
          <t>BROW</t>
        </is>
      </c>
      <c r="M97" s="289" t="inlineStr">
        <is>
          <t>DDD</t>
        </is>
      </c>
      <c r="N97" s="49" t="inlineStr">
        <is>
          <t>MH03DA3431</t>
        </is>
      </c>
      <c r="O97" s="49" t="n">
        <v>3431</v>
      </c>
      <c r="P97" s="289" t="inlineStr">
        <is>
          <t>L2</t>
        </is>
      </c>
      <c r="S97" s="289">
        <f>S96+1</f>
        <v/>
      </c>
    </row>
    <row r="98" ht="14.4" customFormat="1" customHeight="1" s="289">
      <c r="A98" s="311" t="n">
        <v>45769</v>
      </c>
      <c r="B98" s="303" t="n"/>
      <c r="C98" s="43" t="inlineStr">
        <is>
          <t>HOND</t>
        </is>
      </c>
      <c r="D98" s="44" t="inlineStr">
        <is>
          <t>ACCORD</t>
        </is>
      </c>
      <c r="E98" s="290" t="n">
        <v>2007</v>
      </c>
      <c r="F98" s="290" t="n"/>
      <c r="G98" s="43" t="inlineStr">
        <is>
          <t>2.4 AT</t>
        </is>
      </c>
      <c r="H98" s="290" t="inlineStr">
        <is>
          <t>P</t>
        </is>
      </c>
      <c r="I98" s="290" t="inlineStr">
        <is>
          <t>A</t>
        </is>
      </c>
      <c r="J98" s="290" t="n">
        <v>1</v>
      </c>
      <c r="K98" s="44" t="n">
        <v>109000</v>
      </c>
      <c r="L98" s="44" t="inlineStr">
        <is>
          <t>WHIT</t>
        </is>
      </c>
      <c r="M98" s="290" t="inlineStr">
        <is>
          <t>DDD</t>
        </is>
      </c>
      <c r="N98" s="44" t="inlineStr">
        <is>
          <t>MH02AY3475</t>
        </is>
      </c>
      <c r="O98" s="44" t="n">
        <v>3475</v>
      </c>
      <c r="P98" s="290" t="inlineStr">
        <is>
          <t>Y3</t>
        </is>
      </c>
      <c r="Q98" s="290" t="n"/>
      <c r="R98" s="290" t="n"/>
      <c r="S98" s="289">
        <f>S97+1</f>
        <v/>
      </c>
    </row>
    <row r="99" ht="14.4" customFormat="1" customHeight="1" s="289">
      <c r="A99" s="311" t="n">
        <v>45769</v>
      </c>
      <c r="B99" s="303" t="n"/>
      <c r="C99" s="43" t="inlineStr">
        <is>
          <t>TOYO</t>
        </is>
      </c>
      <c r="D99" s="44" t="inlineStr">
        <is>
          <t>INNOVA</t>
        </is>
      </c>
      <c r="E99" s="290" t="n">
        <v>2015</v>
      </c>
      <c r="F99" s="290" t="n"/>
      <c r="G99" s="43" t="inlineStr">
        <is>
          <t>2.5 G</t>
        </is>
      </c>
      <c r="H99" s="290" t="inlineStr">
        <is>
          <t>D</t>
        </is>
      </c>
      <c r="I99" s="290" t="inlineStr">
        <is>
          <t>M</t>
        </is>
      </c>
      <c r="J99" s="290" t="n">
        <v>3</v>
      </c>
      <c r="K99" s="44" t="n">
        <v>695000</v>
      </c>
      <c r="L99" s="44" t="inlineStr">
        <is>
          <t>GRE</t>
        </is>
      </c>
      <c r="M99" s="290" t="inlineStr">
        <is>
          <t>DDD</t>
        </is>
      </c>
      <c r="N99" s="44" t="inlineStr">
        <is>
          <t>MH26AK2959</t>
        </is>
      </c>
      <c r="O99" s="44" t="n">
        <v>2959</v>
      </c>
      <c r="P99" s="290" t="inlineStr">
        <is>
          <t>Z2</t>
        </is>
      </c>
      <c r="Q99" s="290" t="n"/>
      <c r="R99" s="290" t="n"/>
      <c r="S99" s="289">
        <f>S98+1</f>
        <v/>
      </c>
    </row>
    <row r="100" ht="14.4" customFormat="1" customHeight="1" s="289">
      <c r="A100" s="311" t="n">
        <v>45769</v>
      </c>
      <c r="B100" s="303" t="n"/>
      <c r="C100" s="48" t="inlineStr">
        <is>
          <t>SKODA</t>
        </is>
      </c>
      <c r="D100" s="49" t="inlineStr">
        <is>
          <t>RAPID</t>
        </is>
      </c>
      <c r="E100" s="289" t="n">
        <v>2013</v>
      </c>
      <c r="G100" s="48" t="inlineStr">
        <is>
          <t>AMBITIO</t>
        </is>
      </c>
      <c r="H100" s="289" t="inlineStr">
        <is>
          <t>P</t>
        </is>
      </c>
      <c r="I100" s="289" t="inlineStr">
        <is>
          <t>M</t>
        </is>
      </c>
      <c r="J100" s="289" t="n">
        <v>3</v>
      </c>
      <c r="K100" s="49" t="n">
        <v>250000</v>
      </c>
      <c r="L100" s="49" t="inlineStr">
        <is>
          <t>RED</t>
        </is>
      </c>
      <c r="M100" s="289" t="inlineStr">
        <is>
          <t>DDD</t>
        </is>
      </c>
      <c r="N100" s="49" t="inlineStr">
        <is>
          <t>MH01BG1530</t>
        </is>
      </c>
      <c r="O100" s="49" t="n">
        <v>1530</v>
      </c>
      <c r="P100" s="289" t="inlineStr">
        <is>
          <t>W1</t>
        </is>
      </c>
      <c r="Q100" s="289" t="inlineStr">
        <is>
          <t>DJ</t>
        </is>
      </c>
      <c r="S100" s="289">
        <f>S99+1</f>
        <v/>
      </c>
    </row>
    <row r="101" ht="14.4" customFormat="1" customHeight="1" s="289">
      <c r="A101" s="311" t="n">
        <v>45769</v>
      </c>
      <c r="B101" s="303" t="n"/>
      <c r="C101" s="48" t="inlineStr">
        <is>
          <t>VOX</t>
        </is>
      </c>
      <c r="D101" s="49" t="inlineStr">
        <is>
          <t>VENTO</t>
        </is>
      </c>
      <c r="E101" s="289" t="inlineStr">
        <is>
          <t>2011/05</t>
        </is>
      </c>
      <c r="F101" s="289" t="inlineStr">
        <is>
          <t>AUG</t>
        </is>
      </c>
      <c r="G101" s="48" t="inlineStr">
        <is>
          <t>1.6 CR</t>
        </is>
      </c>
      <c r="H101" s="289" t="inlineStr">
        <is>
          <t>CR</t>
        </is>
      </c>
      <c r="I101" s="289" t="inlineStr">
        <is>
          <t>M</t>
        </is>
      </c>
      <c r="J101" s="289" t="n">
        <v>3</v>
      </c>
      <c r="K101" s="44" t="n">
        <v>212500</v>
      </c>
      <c r="L101" s="49" t="inlineStr">
        <is>
          <t>BLUE</t>
        </is>
      </c>
      <c r="M101" s="289" t="inlineStr">
        <is>
          <t>DDD</t>
        </is>
      </c>
      <c r="N101" s="49" t="inlineStr">
        <is>
          <t>MH02BR0159</t>
        </is>
      </c>
      <c r="O101" s="49" t="n">
        <v>159</v>
      </c>
      <c r="P101" s="289" t="inlineStr">
        <is>
          <t>Z1</t>
        </is>
      </c>
      <c r="S101" s="289">
        <f>S100+1</f>
        <v/>
      </c>
    </row>
    <row r="102" ht="14.4" customFormat="1" customHeight="1" s="289">
      <c r="A102" s="311" t="n">
        <v>45769</v>
      </c>
      <c r="B102" s="303" t="n"/>
      <c r="C102" s="48" t="inlineStr">
        <is>
          <t>HOND</t>
        </is>
      </c>
      <c r="D102" s="49" t="inlineStr">
        <is>
          <t>BRIO</t>
        </is>
      </c>
      <c r="E102" s="289" t="n">
        <v>2012</v>
      </c>
      <c r="F102" s="50" t="inlineStr">
        <is>
          <t>JULY</t>
        </is>
      </c>
      <c r="G102" s="48" t="inlineStr">
        <is>
          <t>1.2 EMI</t>
        </is>
      </c>
      <c r="H102" s="289" t="inlineStr">
        <is>
          <t>P</t>
        </is>
      </c>
      <c r="I102" s="289" t="inlineStr">
        <is>
          <t>M</t>
        </is>
      </c>
      <c r="J102" s="289" t="n">
        <v>2</v>
      </c>
      <c r="K102" s="49" t="n">
        <v>171500</v>
      </c>
      <c r="L102" s="49" t="inlineStr">
        <is>
          <t>BLACK</t>
        </is>
      </c>
      <c r="M102" s="289" t="inlineStr">
        <is>
          <t>DDD</t>
        </is>
      </c>
      <c r="N102" s="49" t="inlineStr">
        <is>
          <t>MH02CV1939</t>
        </is>
      </c>
      <c r="O102" s="49" t="n">
        <v>1939</v>
      </c>
      <c r="P102" s="289" t="inlineStr">
        <is>
          <t>Z2</t>
        </is>
      </c>
      <c r="S102" s="289">
        <f>S101+1</f>
        <v/>
      </c>
    </row>
    <row r="103" ht="14.4" customFormat="1" customHeight="1" s="289">
      <c r="A103" s="311" t="n">
        <v>45769</v>
      </c>
      <c r="B103" s="303" t="n"/>
      <c r="C103" s="43" t="inlineStr">
        <is>
          <t>MARU</t>
        </is>
      </c>
      <c r="D103" s="44" t="inlineStr">
        <is>
          <t>SWIFT</t>
        </is>
      </c>
      <c r="E103" s="290" t="n">
        <v>2016</v>
      </c>
      <c r="F103" s="290" t="n"/>
      <c r="G103" s="43" t="inlineStr">
        <is>
          <t>VXI</t>
        </is>
      </c>
      <c r="H103" s="290" t="inlineStr">
        <is>
          <t>CR</t>
        </is>
      </c>
      <c r="I103" s="290" t="inlineStr">
        <is>
          <t>M</t>
        </is>
      </c>
      <c r="J103" s="290" t="n">
        <v>2</v>
      </c>
      <c r="K103" s="44" t="n">
        <v>305000</v>
      </c>
      <c r="L103" s="44" t="inlineStr">
        <is>
          <t>SILV</t>
        </is>
      </c>
      <c r="M103" s="290" t="inlineStr">
        <is>
          <t>DDD</t>
        </is>
      </c>
      <c r="N103" s="44" t="inlineStr">
        <is>
          <t>MH04HM7363</t>
        </is>
      </c>
      <c r="O103" s="44" t="n">
        <v>7363</v>
      </c>
      <c r="P103" s="290" t="inlineStr">
        <is>
          <t>U3</t>
        </is>
      </c>
      <c r="Q103" s="290" t="n"/>
      <c r="R103" s="290" t="n"/>
      <c r="S103" s="289">
        <f>S102+1</f>
        <v/>
      </c>
    </row>
    <row r="104" ht="14.4" customFormat="1" customHeight="1" s="289">
      <c r="A104" s="311" t="n">
        <v>45769</v>
      </c>
      <c r="B104" s="303" t="n"/>
      <c r="C104" s="43" t="inlineStr">
        <is>
          <t>MARU</t>
        </is>
      </c>
      <c r="D104" s="44" t="inlineStr">
        <is>
          <t>SX4</t>
        </is>
      </c>
      <c r="E104" s="290" t="n">
        <v>2007</v>
      </c>
      <c r="F104" s="290" t="n"/>
      <c r="G104" s="43" t="n"/>
      <c r="H104" s="290" t="inlineStr">
        <is>
          <t>P</t>
        </is>
      </c>
      <c r="I104" s="290" t="inlineStr">
        <is>
          <t>M</t>
        </is>
      </c>
      <c r="J104" s="290" t="n">
        <v>3</v>
      </c>
      <c r="K104" s="44" t="n">
        <v>60000</v>
      </c>
      <c r="L104" s="44" t="inlineStr">
        <is>
          <t>RED</t>
        </is>
      </c>
      <c r="M104" s="290" t="inlineStr">
        <is>
          <t>DDD</t>
        </is>
      </c>
      <c r="N104" s="44" t="inlineStr">
        <is>
          <t>MH01AC9741</t>
        </is>
      </c>
      <c r="O104" s="44" t="n">
        <v>9741</v>
      </c>
      <c r="P104" s="289" t="inlineStr">
        <is>
          <t>Y6</t>
        </is>
      </c>
      <c r="Q104" s="290" t="inlineStr"/>
      <c r="R104" s="290" t="n"/>
      <c r="S104" s="289">
        <f>S103+1</f>
        <v/>
      </c>
    </row>
    <row r="105" ht="14.4" customFormat="1" customHeight="1" s="289">
      <c r="A105" s="311" t="n">
        <v>45770</v>
      </c>
      <c r="B105" s="303" t="n"/>
      <c r="C105" s="48" t="inlineStr">
        <is>
          <t>HYUN</t>
        </is>
      </c>
      <c r="D105" s="49" t="inlineStr">
        <is>
          <t>EON</t>
        </is>
      </c>
      <c r="E105" s="289" t="inlineStr">
        <is>
          <t>2012/12</t>
        </is>
      </c>
      <c r="F105" s="55" t="n">
        <v>46139</v>
      </c>
      <c r="G105" s="48" t="inlineStr">
        <is>
          <t>SPORT Z</t>
        </is>
      </c>
      <c r="H105" s="289" t="inlineStr">
        <is>
          <t>P</t>
        </is>
      </c>
      <c r="I105" s="289" t="inlineStr">
        <is>
          <t>M</t>
        </is>
      </c>
      <c r="J105" s="289" t="n">
        <v>2</v>
      </c>
      <c r="K105" s="49" t="n">
        <v>105000</v>
      </c>
      <c r="L105" s="49" t="inlineStr">
        <is>
          <t>SIL</t>
        </is>
      </c>
      <c r="M105" s="289" t="inlineStr">
        <is>
          <t>DDD</t>
        </is>
      </c>
      <c r="N105" s="49" t="inlineStr">
        <is>
          <t>MH03BH4249</t>
        </is>
      </c>
      <c r="O105" s="49" t="n">
        <v>4249</v>
      </c>
      <c r="P105" s="289" t="inlineStr">
        <is>
          <t>T8</t>
        </is>
      </c>
      <c r="S105" s="289">
        <f>S104+1</f>
        <v/>
      </c>
    </row>
    <row r="106" ht="14.4" customFormat="1" customHeight="1" s="289">
      <c r="A106" s="311" t="n">
        <v>45774</v>
      </c>
      <c r="B106" s="303" t="n"/>
      <c r="C106" s="48" t="inlineStr">
        <is>
          <t>LAND</t>
        </is>
      </c>
      <c r="D106" s="49" t="inlineStr">
        <is>
          <t xml:space="preserve">RANGE </t>
        </is>
      </c>
      <c r="E106" s="289" t="inlineStr">
        <is>
          <t>2012/02</t>
        </is>
      </c>
      <c r="G106" s="48" t="inlineStr">
        <is>
          <t>EVOQUESD4</t>
        </is>
      </c>
      <c r="H106" s="289" t="inlineStr">
        <is>
          <t>D</t>
        </is>
      </c>
      <c r="I106" s="289" t="inlineStr">
        <is>
          <t>A</t>
        </is>
      </c>
      <c r="J106" s="289" t="n">
        <v>2</v>
      </c>
      <c r="K106" s="49" t="n">
        <v>985000</v>
      </c>
      <c r="L106" s="49" t="inlineStr">
        <is>
          <t>WJITE</t>
        </is>
      </c>
      <c r="M106" s="289" t="inlineStr">
        <is>
          <t>DDD</t>
        </is>
      </c>
      <c r="N106" s="49" t="inlineStr">
        <is>
          <t>MH14DF2233</t>
        </is>
      </c>
      <c r="O106" s="49" t="n">
        <v>2233</v>
      </c>
      <c r="P106" s="289" t="inlineStr">
        <is>
          <t>A1</t>
        </is>
      </c>
      <c r="S106" s="289">
        <f>S105+1</f>
        <v/>
      </c>
    </row>
    <row r="107" ht="14.4" customFormat="1" customHeight="1" s="289">
      <c r="A107" s="311" t="n">
        <v>45774</v>
      </c>
      <c r="B107" s="303" t="n"/>
      <c r="C107" s="48" t="inlineStr">
        <is>
          <t>MAHI</t>
        </is>
      </c>
      <c r="D107" s="44" t="inlineStr">
        <is>
          <t>XUV 500</t>
        </is>
      </c>
      <c r="E107" s="289" t="n">
        <v>2018</v>
      </c>
      <c r="G107" s="48" t="n"/>
      <c r="H107" s="289" t="inlineStr">
        <is>
          <t>D</t>
        </is>
      </c>
      <c r="I107" s="289" t="inlineStr">
        <is>
          <t>M</t>
        </is>
      </c>
      <c r="J107" s="289" t="n">
        <v>1</v>
      </c>
      <c r="K107" s="49" t="n">
        <v>685000</v>
      </c>
      <c r="L107" s="49" t="inlineStr">
        <is>
          <t>WHI</t>
        </is>
      </c>
      <c r="M107" s="289" t="inlineStr">
        <is>
          <t>DDD</t>
        </is>
      </c>
      <c r="N107" s="49" t="inlineStr">
        <is>
          <t>MH47AB9389</t>
        </is>
      </c>
      <c r="O107" s="49" t="n">
        <v>9389</v>
      </c>
      <c r="P107" s="289" t="inlineStr">
        <is>
          <t>E2</t>
        </is>
      </c>
      <c r="S107" s="289">
        <f>S106+1</f>
        <v/>
      </c>
    </row>
    <row r="108" ht="14.4" customFormat="1" customHeight="1" s="289">
      <c r="A108" s="311" t="n">
        <v>45774</v>
      </c>
      <c r="B108" s="303" t="n"/>
      <c r="C108" s="43" t="inlineStr">
        <is>
          <t>VOX</t>
        </is>
      </c>
      <c r="D108" s="44" t="inlineStr">
        <is>
          <t>JETTA</t>
        </is>
      </c>
      <c r="E108" s="290" t="n">
        <v>2014</v>
      </c>
      <c r="F108" s="290" t="n"/>
      <c r="G108" s="43" t="inlineStr">
        <is>
          <t>1.4 TSI MT</t>
        </is>
      </c>
      <c r="H108" s="290" t="inlineStr">
        <is>
          <t>P</t>
        </is>
      </c>
      <c r="I108" s="290" t="inlineStr">
        <is>
          <t>M</t>
        </is>
      </c>
      <c r="J108" s="290" t="n">
        <v>1</v>
      </c>
      <c r="K108" s="44" t="n">
        <v>295000</v>
      </c>
      <c r="L108" s="44" t="inlineStr">
        <is>
          <t>SIL</t>
        </is>
      </c>
      <c r="M108" s="290" t="inlineStr">
        <is>
          <t>DDD</t>
        </is>
      </c>
      <c r="N108" s="44" t="inlineStr">
        <is>
          <t>MH02DG6568</t>
        </is>
      </c>
      <c r="O108" s="44" t="n">
        <v>6568</v>
      </c>
      <c r="P108" s="290" t="inlineStr">
        <is>
          <t>V4</t>
        </is>
      </c>
      <c r="Q108" s="290" t="n"/>
      <c r="R108" s="290" t="n"/>
      <c r="S108" s="289">
        <f>S107+1</f>
        <v/>
      </c>
    </row>
    <row r="109" ht="14.4" customFormat="1" customHeight="1" s="289">
      <c r="A109" s="311" t="n">
        <v>45774</v>
      </c>
      <c r="B109" s="303" t="n"/>
      <c r="C109" s="43" t="inlineStr">
        <is>
          <t>HOND</t>
        </is>
      </c>
      <c r="D109" s="44" t="inlineStr">
        <is>
          <t>AMAZE</t>
        </is>
      </c>
      <c r="E109" s="290" t="n">
        <v>2014</v>
      </c>
      <c r="F109" s="290" t="n"/>
      <c r="G109" s="43" t="inlineStr">
        <is>
          <t>SMT</t>
        </is>
      </c>
      <c r="H109" s="290" t="inlineStr">
        <is>
          <t>D</t>
        </is>
      </c>
      <c r="I109" s="290" t="inlineStr">
        <is>
          <t>M</t>
        </is>
      </c>
      <c r="J109" s="290" t="n">
        <v>2</v>
      </c>
      <c r="K109" s="44" t="n">
        <v>299000</v>
      </c>
      <c r="L109" s="44" t="inlineStr">
        <is>
          <t>WHI</t>
        </is>
      </c>
      <c r="M109" s="290" t="inlineStr">
        <is>
          <t>DDD</t>
        </is>
      </c>
      <c r="N109" s="44" t="inlineStr">
        <is>
          <t>MH03BS2748</t>
        </is>
      </c>
      <c r="O109" s="44" t="n">
        <v>2748</v>
      </c>
      <c r="P109" s="290" t="inlineStr">
        <is>
          <t>Z1</t>
        </is>
      </c>
      <c r="Q109" s="290" t="n"/>
      <c r="R109" s="290" t="n"/>
      <c r="S109" s="289">
        <f>S108+1</f>
        <v/>
      </c>
    </row>
    <row r="110" ht="14.4" customFormat="1" customHeight="1" s="289">
      <c r="A110" s="311" t="n">
        <v>45774</v>
      </c>
      <c r="B110" s="303" t="n"/>
      <c r="C110" s="48" t="inlineStr">
        <is>
          <t>HYUN</t>
        </is>
      </c>
      <c r="D110" s="49" t="inlineStr">
        <is>
          <t>I 20 MEGNA</t>
        </is>
      </c>
      <c r="E110" s="289" t="n">
        <v>2011</v>
      </c>
      <c r="G110" s="48" t="inlineStr">
        <is>
          <t>MEGNA 1.2</t>
        </is>
      </c>
      <c r="H110" s="289" t="inlineStr">
        <is>
          <t>CR</t>
        </is>
      </c>
      <c r="I110" s="289" t="inlineStr">
        <is>
          <t>M</t>
        </is>
      </c>
      <c r="J110" s="289" t="n">
        <v>1</v>
      </c>
      <c r="K110" s="49" t="n">
        <v>140500</v>
      </c>
      <c r="L110" s="49" t="inlineStr">
        <is>
          <t>WHIT</t>
        </is>
      </c>
      <c r="M110" s="289" t="inlineStr">
        <is>
          <t>DDD</t>
        </is>
      </c>
      <c r="N110" s="49" t="inlineStr">
        <is>
          <t>MH02CB9320</t>
        </is>
      </c>
      <c r="O110" s="49" t="n">
        <v>9320</v>
      </c>
      <c r="P110" s="289" t="inlineStr">
        <is>
          <t>Z1</t>
        </is>
      </c>
      <c r="S110" s="289">
        <f>S109+1</f>
        <v/>
      </c>
    </row>
    <row r="111" ht="14.4" customFormat="1" customHeight="1" s="289">
      <c r="A111" s="311" t="n">
        <v>45774</v>
      </c>
      <c r="B111" s="303" t="n"/>
      <c r="C111" s="48" t="inlineStr">
        <is>
          <t>TATA</t>
        </is>
      </c>
      <c r="D111" s="49" t="inlineStr">
        <is>
          <t>MANZA</t>
        </is>
      </c>
      <c r="E111" s="289" t="n">
        <v>2011</v>
      </c>
      <c r="G111" s="48" t="n"/>
      <c r="H111" s="289" t="inlineStr">
        <is>
          <t>P</t>
        </is>
      </c>
      <c r="I111" s="289" t="inlineStr">
        <is>
          <t>M</t>
        </is>
      </c>
      <c r="J111" s="289" t="n">
        <v>4</v>
      </c>
      <c r="K111" s="49" t="n">
        <v>121000</v>
      </c>
      <c r="L111" s="49" t="inlineStr">
        <is>
          <t>T WINE</t>
        </is>
      </c>
      <c r="M111" s="289" t="inlineStr">
        <is>
          <t>DDD</t>
        </is>
      </c>
      <c r="N111" s="49" t="inlineStr">
        <is>
          <t>MH01AV8732</t>
        </is>
      </c>
      <c r="O111" s="49" t="n">
        <v>8732</v>
      </c>
      <c r="P111" s="289" t="inlineStr">
        <is>
          <t>Z1</t>
        </is>
      </c>
      <c r="S111" s="289">
        <f>S110+1</f>
        <v/>
      </c>
    </row>
    <row r="113" ht="14.4" customFormat="1" customHeight="1" s="289">
      <c r="A113" s="311" t="n">
        <v>45774</v>
      </c>
      <c r="B113" s="303" t="n"/>
      <c r="C113" s="43" t="inlineStr">
        <is>
          <t>TOYO</t>
        </is>
      </c>
      <c r="D113" s="44" t="inlineStr">
        <is>
          <t>COROLLA</t>
        </is>
      </c>
      <c r="E113" s="290" t="inlineStr">
        <is>
          <t>2006/26</t>
        </is>
      </c>
      <c r="F113" s="290" t="inlineStr"/>
      <c r="G113" s="43" t="inlineStr">
        <is>
          <t>18 E</t>
        </is>
      </c>
      <c r="H113" s="290" t="inlineStr">
        <is>
          <t>P</t>
        </is>
      </c>
      <c r="I113" s="290" t="inlineStr">
        <is>
          <t>M</t>
        </is>
      </c>
      <c r="J113" s="290" t="n">
        <v>2</v>
      </c>
      <c r="K113" s="44" t="n">
        <v>99000</v>
      </c>
      <c r="L113" s="44" t="inlineStr">
        <is>
          <t>RED</t>
        </is>
      </c>
      <c r="M113" s="290" t="inlineStr">
        <is>
          <t>DDD</t>
        </is>
      </c>
      <c r="N113" s="44" t="inlineStr">
        <is>
          <t>MH18Q0369</t>
        </is>
      </c>
      <c r="O113" s="44" t="n">
        <v>369</v>
      </c>
      <c r="P113" s="290" t="n"/>
      <c r="Q113" s="290" t="n"/>
      <c r="R113" s="290" t="n"/>
      <c r="S113" s="289">
        <f>'CTRL F'!#REF!+1</f>
        <v/>
      </c>
    </row>
    <row r="114" ht="14.4" customFormat="1" customHeight="1" s="289">
      <c r="A114" s="311" t="n">
        <v>45774</v>
      </c>
      <c r="B114" s="303" t="n"/>
      <c r="C114" s="48" t="inlineStr">
        <is>
          <t>HOND</t>
        </is>
      </c>
      <c r="D114" s="49" t="inlineStr">
        <is>
          <t>CITY</t>
        </is>
      </c>
      <c r="E114" s="289" t="n">
        <v>2016</v>
      </c>
      <c r="F114" s="50" t="n">
        <v>46419</v>
      </c>
      <c r="G114" s="48" t="inlineStr">
        <is>
          <t>IVTEC</t>
        </is>
      </c>
      <c r="H114" s="289" t="inlineStr">
        <is>
          <t>P</t>
        </is>
      </c>
      <c r="I114" s="289" t="inlineStr">
        <is>
          <t>M</t>
        </is>
      </c>
      <c r="J114" s="289" t="n">
        <v>2</v>
      </c>
      <c r="K114" s="49" t="n">
        <v>389000</v>
      </c>
      <c r="L114" s="49" t="inlineStr">
        <is>
          <t>RED</t>
        </is>
      </c>
      <c r="M114" s="289" t="inlineStr">
        <is>
          <t>DDD</t>
        </is>
      </c>
      <c r="N114" s="49" t="inlineStr">
        <is>
          <t>MH04HM2982</t>
        </is>
      </c>
      <c r="O114" s="49" t="n">
        <v>2982</v>
      </c>
      <c r="S114" s="289">
        <f>S113+1</f>
        <v/>
      </c>
    </row>
    <row r="115" ht="14.4" customFormat="1" customHeight="1" s="289">
      <c r="A115" s="311" t="n">
        <v>45774</v>
      </c>
      <c r="B115" s="303" t="n"/>
      <c r="C115" s="48" t="inlineStr">
        <is>
          <t>VOX</t>
        </is>
      </c>
      <c r="D115" s="49" t="inlineStr">
        <is>
          <t>POLO</t>
        </is>
      </c>
      <c r="E115" s="289" t="n">
        <v>2011</v>
      </c>
      <c r="G115" s="48" t="n"/>
      <c r="H115" s="289" t="inlineStr">
        <is>
          <t>P</t>
        </is>
      </c>
      <c r="I115" s="289" t="inlineStr">
        <is>
          <t>M</t>
        </is>
      </c>
      <c r="J115" s="289" t="n">
        <v>1</v>
      </c>
      <c r="K115" s="49" t="n">
        <v>189000</v>
      </c>
      <c r="L115" s="49" t="inlineStr">
        <is>
          <t>GREY</t>
        </is>
      </c>
      <c r="M115" s="289" t="inlineStr">
        <is>
          <t>DDD</t>
        </is>
      </c>
      <c r="N115" s="49" t="inlineStr">
        <is>
          <t>MH02BR4659</t>
        </is>
      </c>
      <c r="O115" s="49" t="n">
        <v>4659</v>
      </c>
      <c r="S115" s="289">
        <f>S114+1</f>
        <v/>
      </c>
    </row>
    <row r="116" ht="14.4" customFormat="1" customHeight="1" s="289">
      <c r="A116" s="311" t="n">
        <v>45774</v>
      </c>
      <c r="B116" s="303" t="n"/>
      <c r="C116" s="48" t="inlineStr">
        <is>
          <t>MARU</t>
        </is>
      </c>
      <c r="D116" s="49" t="inlineStr">
        <is>
          <t>BREZZA</t>
        </is>
      </c>
      <c r="E116" s="289" t="n">
        <v>2018</v>
      </c>
      <c r="G116" s="48" t="inlineStr">
        <is>
          <t>ZDI +</t>
        </is>
      </c>
      <c r="H116" s="289" t="inlineStr">
        <is>
          <t>D</t>
        </is>
      </c>
      <c r="I116" s="289" t="inlineStr">
        <is>
          <t>M</t>
        </is>
      </c>
      <c r="J116" s="289" t="n">
        <v>1</v>
      </c>
      <c r="K116" s="49" t="n">
        <v>701500</v>
      </c>
      <c r="L116" s="49" t="inlineStr">
        <is>
          <t>ORA</t>
        </is>
      </c>
      <c r="M116" s="289" t="inlineStr">
        <is>
          <t>DDD</t>
        </is>
      </c>
      <c r="N116" s="49" t="inlineStr">
        <is>
          <t>MH02EZ7070</t>
        </is>
      </c>
      <c r="O116" s="49" t="n">
        <v>7070</v>
      </c>
      <c r="S116" s="289">
        <f>S115+1</f>
        <v/>
      </c>
    </row>
    <row r="117" ht="14.4" customFormat="1" customHeight="1" s="18">
      <c r="A117" s="311" t="n">
        <v>45775</v>
      </c>
      <c r="B117" s="303" t="n"/>
      <c r="C117" s="17" t="inlineStr">
        <is>
          <t>TATA</t>
        </is>
      </c>
      <c r="D117" s="13" t="inlineStr">
        <is>
          <t>HARRIER</t>
        </is>
      </c>
      <c r="E117" s="14" t="n">
        <v>2020</v>
      </c>
      <c r="F117" s="14" t="n"/>
      <c r="G117" s="17" t="inlineStr">
        <is>
          <t>XM</t>
        </is>
      </c>
      <c r="H117" s="14" t="inlineStr">
        <is>
          <t>D</t>
        </is>
      </c>
      <c r="I117" s="14" t="inlineStr">
        <is>
          <t>M</t>
        </is>
      </c>
      <c r="J117" s="14" t="n">
        <v>1</v>
      </c>
      <c r="K117" s="13" t="n">
        <v>875000</v>
      </c>
      <c r="L117" s="13" t="inlineStr">
        <is>
          <t>SIL</t>
        </is>
      </c>
      <c r="M117" s="14" t="inlineStr">
        <is>
          <t>DDD</t>
        </is>
      </c>
      <c r="N117" s="13" t="inlineStr">
        <is>
          <t>MH48BT1006</t>
        </is>
      </c>
      <c r="O117" s="13" t="n">
        <v>1006</v>
      </c>
      <c r="P117" s="14" t="inlineStr">
        <is>
          <t>Y2</t>
        </is>
      </c>
      <c r="Q117" s="14" t="n"/>
      <c r="R117" s="14" t="n"/>
      <c r="S117" s="289">
        <f>S116+1</f>
        <v/>
      </c>
      <c r="T117" s="15" t="n"/>
      <c r="U117" s="15" t="n"/>
      <c r="V117" s="15" t="n"/>
    </row>
    <row r="118" ht="14.4" customFormat="1" customHeight="1" s="15">
      <c r="A118" s="311" t="n">
        <v>45776</v>
      </c>
      <c r="B118" s="303" t="n"/>
      <c r="C118" s="19" t="inlineStr">
        <is>
          <t>HOND</t>
        </is>
      </c>
      <c r="D118" s="20" t="inlineStr">
        <is>
          <t>AMAZE</t>
        </is>
      </c>
      <c r="E118" s="15" t="n">
        <v>2019</v>
      </c>
      <c r="G118" s="19" t="inlineStr">
        <is>
          <t xml:space="preserve">1.2V CVT </t>
        </is>
      </c>
      <c r="H118" s="15" t="inlineStr">
        <is>
          <t>P</t>
        </is>
      </c>
      <c r="I118" s="15" t="inlineStr">
        <is>
          <t>A</t>
        </is>
      </c>
      <c r="J118" s="15" t="n">
        <v>2</v>
      </c>
      <c r="K118" s="20" t="n">
        <v>501500</v>
      </c>
      <c r="L118" s="20" t="inlineStr">
        <is>
          <t>BROW</t>
        </is>
      </c>
      <c r="M118" s="15" t="inlineStr">
        <is>
          <t>DDD</t>
        </is>
      </c>
      <c r="N118" s="20" t="inlineStr">
        <is>
          <t>MH02FE2265</t>
        </is>
      </c>
      <c r="O118" s="20" t="n">
        <v>2265</v>
      </c>
      <c r="S118" s="289">
        <f>S117+1</f>
        <v/>
      </c>
      <c r="T118" s="16" t="n"/>
    </row>
    <row r="119" ht="14.4" customFormat="1" customHeight="1" s="289">
      <c r="A119" s="311" t="n">
        <v>45776</v>
      </c>
      <c r="B119" s="303" t="n"/>
      <c r="C119" s="48" t="inlineStr">
        <is>
          <t>TOYO</t>
        </is>
      </c>
      <c r="D119" s="49" t="inlineStr">
        <is>
          <t>INNOVA</t>
        </is>
      </c>
      <c r="E119" s="289" t="n">
        <v>2009</v>
      </c>
      <c r="G119" s="48" t="n"/>
      <c r="H119" s="289" t="inlineStr">
        <is>
          <t>D</t>
        </is>
      </c>
      <c r="I119" s="289" t="inlineStr">
        <is>
          <t>M</t>
        </is>
      </c>
      <c r="J119" s="289" t="n">
        <v>3</v>
      </c>
      <c r="K119" s="49" t="n">
        <v>345000</v>
      </c>
      <c r="L119" s="49" t="inlineStr">
        <is>
          <t>GREY</t>
        </is>
      </c>
      <c r="M119" s="289" t="inlineStr">
        <is>
          <t>DDD</t>
        </is>
      </c>
      <c r="N119" s="49" t="inlineStr">
        <is>
          <t>MH12FP4727</t>
        </is>
      </c>
      <c r="O119" s="49" t="n">
        <v>4727</v>
      </c>
      <c r="S119" s="289">
        <f>S118+1</f>
        <v/>
      </c>
      <c r="T119" s="60" t="n"/>
    </row>
    <row r="120" ht="14.4" customFormat="1" customHeight="1" s="59">
      <c r="A120" s="311" t="n">
        <v>45777</v>
      </c>
      <c r="B120" s="303" t="n"/>
      <c r="C120" s="43" t="inlineStr">
        <is>
          <t>MAHI</t>
        </is>
      </c>
      <c r="D120" s="44" t="inlineStr">
        <is>
          <t>MARAZOO</t>
        </is>
      </c>
      <c r="E120" s="290" t="n">
        <v>2018</v>
      </c>
      <c r="F120" s="290" t="n"/>
      <c r="G120" s="43" t="inlineStr">
        <is>
          <t>NT</t>
        </is>
      </c>
      <c r="H120" s="290" t="inlineStr">
        <is>
          <t>D</t>
        </is>
      </c>
      <c r="I120" s="290" t="inlineStr">
        <is>
          <t>M</t>
        </is>
      </c>
      <c r="J120" s="290" t="n">
        <v>2</v>
      </c>
      <c r="K120" s="44" t="n">
        <v>599000</v>
      </c>
      <c r="L120" s="44" t="inlineStr">
        <is>
          <t>GREY</t>
        </is>
      </c>
      <c r="M120" s="290" t="inlineStr">
        <is>
          <t>DDD</t>
        </is>
      </c>
      <c r="N120" s="44" t="inlineStr">
        <is>
          <t>MH12QY2005</t>
        </is>
      </c>
      <c r="O120" s="44" t="n">
        <v>2005</v>
      </c>
      <c r="P120" s="56" t="n"/>
      <c r="Q120" s="57" t="n"/>
      <c r="R120" s="58" t="n"/>
      <c r="S120" s="289">
        <f>S119+1</f>
        <v/>
      </c>
    </row>
    <row r="121" ht="14.4" customFormat="1" customHeight="1" s="59">
      <c r="A121" s="311" t="n">
        <v>45777</v>
      </c>
      <c r="B121" s="303" t="n"/>
      <c r="C121" s="43" t="inlineStr">
        <is>
          <t>TOYO</t>
        </is>
      </c>
      <c r="D121" s="44" t="inlineStr">
        <is>
          <t>ALTIS</t>
        </is>
      </c>
      <c r="E121" s="290" t="n">
        <v>2015</v>
      </c>
      <c r="F121" s="290" t="n"/>
      <c r="G121" s="43" t="inlineStr">
        <is>
          <t>1.8 G</t>
        </is>
      </c>
      <c r="H121" s="290" t="inlineStr">
        <is>
          <t>C</t>
        </is>
      </c>
      <c r="I121" s="290" t="inlineStr">
        <is>
          <t>M</t>
        </is>
      </c>
      <c r="J121" s="290" t="n">
        <v>2</v>
      </c>
      <c r="K121" s="44" t="n">
        <v>399000</v>
      </c>
      <c r="L121" s="44" t="inlineStr">
        <is>
          <t>GREY</t>
        </is>
      </c>
      <c r="M121" s="290" t="inlineStr">
        <is>
          <t>DDD</t>
        </is>
      </c>
      <c r="N121" s="44" t="inlineStr">
        <is>
          <t>MH03CB0372</t>
        </is>
      </c>
      <c r="O121" s="44" t="n">
        <v>372</v>
      </c>
      <c r="P121" s="290" t="n"/>
      <c r="Q121" s="57" t="n"/>
      <c r="R121" s="58" t="n"/>
      <c r="S121" s="289">
        <f>S120+1</f>
        <v/>
      </c>
    </row>
    <row r="122" ht="14.4" customFormat="1" customHeight="1" s="289">
      <c r="A122" s="311" t="n">
        <v>45777</v>
      </c>
      <c r="B122" s="303" t="n"/>
      <c r="C122" s="48" t="inlineStr">
        <is>
          <t>TOYO</t>
        </is>
      </c>
      <c r="D122" s="49" t="inlineStr">
        <is>
          <t>INNOVA</t>
        </is>
      </c>
      <c r="E122" s="289" t="n">
        <v>2014</v>
      </c>
      <c r="G122" s="48" t="inlineStr">
        <is>
          <t>2.5 G E4</t>
        </is>
      </c>
      <c r="H122" s="289" t="inlineStr">
        <is>
          <t>D</t>
        </is>
      </c>
      <c r="I122" s="289" t="inlineStr">
        <is>
          <t>M</t>
        </is>
      </c>
      <c r="J122" s="289" t="n">
        <v>3</v>
      </c>
      <c r="K122" s="49" t="n">
        <v>496000</v>
      </c>
      <c r="L122" s="49" t="inlineStr">
        <is>
          <t>SILVER</t>
        </is>
      </c>
      <c r="M122" s="289" t="inlineStr">
        <is>
          <t>DDD</t>
        </is>
      </c>
      <c r="N122" s="49" t="inlineStr">
        <is>
          <t>MH02DJ9433</t>
        </is>
      </c>
      <c r="O122" s="49" t="n">
        <v>9433</v>
      </c>
      <c r="P122" s="289" t="inlineStr">
        <is>
          <t>ILL</t>
        </is>
      </c>
      <c r="Q122" s="289" t="inlineStr">
        <is>
          <t>DJ</t>
        </is>
      </c>
      <c r="R122" s="60" t="n"/>
      <c r="S122" s="289">
        <f>S121+1</f>
        <v/>
      </c>
      <c r="T122" s="60" t="n"/>
    </row>
    <row r="126" ht="14.4" customFormat="1" customHeight="1" s="11">
      <c r="A126" s="311" t="n">
        <v>45778</v>
      </c>
      <c r="B126" s="303" t="n"/>
      <c r="C126" s="68" t="inlineStr">
        <is>
          <t>FORD</t>
        </is>
      </c>
      <c r="D126" s="69" t="inlineStr">
        <is>
          <t>ECOSPORT</t>
        </is>
      </c>
      <c r="E126" s="67" t="n">
        <v>2014</v>
      </c>
      <c r="F126" s="67" t="n"/>
      <c r="G126" s="68" t="inlineStr">
        <is>
          <t>TITANIUM</t>
        </is>
      </c>
      <c r="H126" s="67" t="inlineStr">
        <is>
          <t>P</t>
        </is>
      </c>
      <c r="I126" s="67" t="inlineStr">
        <is>
          <t>A</t>
        </is>
      </c>
      <c r="J126" s="67" t="n">
        <v>3</v>
      </c>
      <c r="K126" s="69" t="n">
        <v>289000</v>
      </c>
      <c r="L126" s="69" t="inlineStr">
        <is>
          <t>RED</t>
        </is>
      </c>
      <c r="M126" s="70" t="inlineStr">
        <is>
          <t>DDD</t>
        </is>
      </c>
      <c r="N126" s="69" t="inlineStr">
        <is>
          <t>MH06BE0456</t>
        </is>
      </c>
      <c r="O126" s="69" t="n">
        <v>456</v>
      </c>
      <c r="P126" s="67" t="inlineStr">
        <is>
          <t>Z1</t>
        </is>
      </c>
      <c r="Q126" s="67" t="n"/>
      <c r="R126" s="67" t="n"/>
      <c r="T126" s="12" t="n"/>
    </row>
    <row r="128" ht="14.4" customFormat="1" customHeight="1" s="66">
      <c r="A128" s="311" t="n">
        <v>45778</v>
      </c>
      <c r="B128" s="303" t="n"/>
      <c r="C128" s="2" t="inlineStr">
        <is>
          <t>HOND</t>
        </is>
      </c>
      <c r="D128" s="62" t="inlineStr">
        <is>
          <t>JAZZ</t>
        </is>
      </c>
      <c r="E128" s="61" t="n">
        <v>2016</v>
      </c>
      <c r="F128" s="61" t="n"/>
      <c r="G128" s="2" t="inlineStr">
        <is>
          <t>VMT</t>
        </is>
      </c>
      <c r="H128" s="61" t="inlineStr">
        <is>
          <t>P</t>
        </is>
      </c>
      <c r="I128" s="61" t="inlineStr">
        <is>
          <t>M</t>
        </is>
      </c>
      <c r="J128" s="61" t="n">
        <v>1</v>
      </c>
      <c r="K128" s="62" t="n">
        <v>277000</v>
      </c>
      <c r="L128" s="62" t="inlineStr">
        <is>
          <t>WHI</t>
        </is>
      </c>
      <c r="M128" s="63" t="inlineStr">
        <is>
          <t>DDD</t>
        </is>
      </c>
      <c r="N128" s="62" t="inlineStr">
        <is>
          <t>MH01CD8480</t>
        </is>
      </c>
      <c r="O128" s="62" t="n">
        <v>8480</v>
      </c>
      <c r="P128" s="61" t="inlineStr">
        <is>
          <t>S6</t>
        </is>
      </c>
      <c r="Q128" s="61" t="n"/>
      <c r="R128" s="61" t="n"/>
      <c r="S128" s="64" t="n"/>
      <c r="T128" s="65" t="n"/>
      <c r="U128" s="64" t="n"/>
      <c r="V128" s="64" t="n"/>
    </row>
    <row r="129" ht="14.4" customFormat="1" customHeight="1" s="4">
      <c r="A129" s="311" t="n">
        <v>45778</v>
      </c>
      <c r="B129" s="303" t="n"/>
      <c r="C129" s="2" t="inlineStr">
        <is>
          <t>MARU</t>
        </is>
      </c>
      <c r="D129" s="62" t="inlineStr">
        <is>
          <t>ALTO</t>
        </is>
      </c>
      <c r="E129" s="61" t="n">
        <v>2011</v>
      </c>
      <c r="F129" s="61" t="n"/>
      <c r="G129" s="2" t="n">
        <v>800</v>
      </c>
      <c r="H129" s="61" t="inlineStr">
        <is>
          <t>CR</t>
        </is>
      </c>
      <c r="I129" s="61" t="inlineStr">
        <is>
          <t>M</t>
        </is>
      </c>
      <c r="J129" s="61" t="n">
        <v>2</v>
      </c>
      <c r="K129" s="62" t="n">
        <v>114500</v>
      </c>
      <c r="L129" s="62" t="inlineStr">
        <is>
          <t>BLU</t>
        </is>
      </c>
      <c r="M129" s="63" t="inlineStr">
        <is>
          <t>DDD</t>
        </is>
      </c>
      <c r="N129" s="62" t="inlineStr">
        <is>
          <t>MH03BE1976</t>
        </is>
      </c>
      <c r="O129" s="62" t="n">
        <v>1976</v>
      </c>
      <c r="P129" s="61" t="n"/>
      <c r="Q129" s="21" t="n"/>
      <c r="R129" s="61" t="n"/>
      <c r="S129" s="1" t="n"/>
    </row>
    <row r="130" ht="14.4" customFormat="1" customHeight="1" s="1">
      <c r="A130" s="311" t="n">
        <v>45778</v>
      </c>
      <c r="B130" s="303" t="n"/>
      <c r="C130" s="3" t="inlineStr">
        <is>
          <t>MAHI</t>
        </is>
      </c>
      <c r="D130" s="11" t="inlineStr">
        <is>
          <t>KUV100</t>
        </is>
      </c>
      <c r="E130" s="1" t="n">
        <v>2017</v>
      </c>
      <c r="G130" s="11" t="inlineStr">
        <is>
          <t>K6</t>
        </is>
      </c>
      <c r="H130" s="1" t="inlineStr">
        <is>
          <t>P</t>
        </is>
      </c>
      <c r="I130" s="1" t="inlineStr">
        <is>
          <t>M</t>
        </is>
      </c>
      <c r="J130" s="1" t="n">
        <v>2</v>
      </c>
      <c r="K130" s="3" t="n">
        <v>241500</v>
      </c>
      <c r="L130" s="3" t="inlineStr">
        <is>
          <t>SIL</t>
        </is>
      </c>
      <c r="M130" s="1" t="inlineStr">
        <is>
          <t>DDD</t>
        </is>
      </c>
      <c r="N130" s="3" t="inlineStr">
        <is>
          <t>MH43BK1432</t>
        </is>
      </c>
      <c r="O130" s="3" t="n">
        <v>1432</v>
      </c>
      <c r="P130" s="1" t="inlineStr">
        <is>
          <t>POL</t>
        </is>
      </c>
      <c r="Q130" s="5" t="n"/>
      <c r="T130" s="5" t="n"/>
    </row>
    <row r="132" ht="14.4" customFormat="1" customHeight="1" s="4">
      <c r="A132" s="311" t="n">
        <v>45779</v>
      </c>
      <c r="B132" s="303" t="n"/>
      <c r="C132" s="2" t="inlineStr">
        <is>
          <t>TOYO</t>
        </is>
      </c>
      <c r="D132" s="62" t="inlineStr">
        <is>
          <t>INNOVA</t>
        </is>
      </c>
      <c r="E132" s="61" t="n">
        <v>2016</v>
      </c>
      <c r="F132" s="61" t="n"/>
      <c r="G132" s="2" t="inlineStr">
        <is>
          <t>2.5 G (E4)</t>
        </is>
      </c>
      <c r="H132" s="61" t="inlineStr">
        <is>
          <t>D</t>
        </is>
      </c>
      <c r="I132" s="61" t="inlineStr">
        <is>
          <t>M</t>
        </is>
      </c>
      <c r="J132" s="61" t="n">
        <v>2</v>
      </c>
      <c r="K132" s="62" t="n">
        <v>645000</v>
      </c>
      <c r="L132" s="62" t="inlineStr">
        <is>
          <t>SILVER</t>
        </is>
      </c>
      <c r="M132" s="61" t="inlineStr">
        <is>
          <t>DDD</t>
        </is>
      </c>
      <c r="N132" s="62" t="inlineStr">
        <is>
          <t>MH02CR8960</t>
        </is>
      </c>
      <c r="O132" s="62" t="n">
        <v>8960</v>
      </c>
      <c r="P132" s="61" t="inlineStr">
        <is>
          <t>ILL</t>
        </is>
      </c>
      <c r="Q132" s="71" t="n"/>
      <c r="R132" s="71" t="n"/>
      <c r="S132" s="66" t="n"/>
    </row>
    <row r="133" ht="14.4" customFormat="1" customHeight="1" s="4">
      <c r="A133" s="311" t="n">
        <v>45779</v>
      </c>
      <c r="B133" s="303" t="n"/>
      <c r="C133" s="2" t="inlineStr">
        <is>
          <t>HOND</t>
        </is>
      </c>
      <c r="D133" s="62" t="inlineStr">
        <is>
          <t>CITY</t>
        </is>
      </c>
      <c r="E133" s="61" t="n">
        <v>2014</v>
      </c>
      <c r="F133" s="61" t="n"/>
      <c r="G133" s="2" t="inlineStr">
        <is>
          <t>1.5 V MT</t>
        </is>
      </c>
      <c r="H133" s="61" t="inlineStr">
        <is>
          <t>P</t>
        </is>
      </c>
      <c r="I133" s="61" t="inlineStr">
        <is>
          <t>M</t>
        </is>
      </c>
      <c r="J133" s="61" t="n">
        <v>2</v>
      </c>
      <c r="K133" s="62" t="n">
        <v>340000</v>
      </c>
      <c r="L133" s="62" t="inlineStr">
        <is>
          <t>SILVER</t>
        </is>
      </c>
      <c r="M133" s="61" t="inlineStr">
        <is>
          <t>DDD</t>
        </is>
      </c>
      <c r="N133" s="62" t="inlineStr">
        <is>
          <t>MH02DJ9547</t>
        </is>
      </c>
      <c r="O133" s="62" t="n">
        <v>9547</v>
      </c>
      <c r="P133" s="61" t="inlineStr">
        <is>
          <t>Z2</t>
        </is>
      </c>
      <c r="Q133" s="71" t="n"/>
      <c r="R133" s="71" t="n"/>
      <c r="S133" s="66" t="n"/>
    </row>
    <row r="135" ht="14.4" customFormat="1" customHeight="1" s="18">
      <c r="A135" s="311" t="n">
        <v>45780</v>
      </c>
      <c r="B135" s="303" t="n"/>
      <c r="C135" s="19" t="inlineStr">
        <is>
          <t>BMW</t>
        </is>
      </c>
      <c r="D135" s="20" t="inlineStr">
        <is>
          <t>320 D</t>
        </is>
      </c>
      <c r="E135" s="15" t="n">
        <v>2013</v>
      </c>
      <c r="F135" s="15" t="n"/>
      <c r="G135" s="19" t="inlineStr">
        <is>
          <t>320 D</t>
        </is>
      </c>
      <c r="H135" s="15" t="inlineStr">
        <is>
          <t>D</t>
        </is>
      </c>
      <c r="I135" s="15" t="inlineStr">
        <is>
          <t>A</t>
        </is>
      </c>
      <c r="J135" s="15" t="n">
        <v>2</v>
      </c>
      <c r="K135" s="20" t="n">
        <v>690000</v>
      </c>
      <c r="L135" s="20" t="inlineStr">
        <is>
          <t>META</t>
        </is>
      </c>
      <c r="M135" s="289" t="inlineStr">
        <is>
          <t>DDD</t>
        </is>
      </c>
      <c r="N135" s="20" t="inlineStr">
        <is>
          <t>MH46W7029</t>
        </is>
      </c>
      <c r="O135" s="20" t="n">
        <v>7029</v>
      </c>
      <c r="P135" s="15" t="n"/>
      <c r="Q135" s="16" t="n"/>
      <c r="R135" s="15" t="n"/>
      <c r="S135" s="15" t="n"/>
    </row>
    <row r="136" ht="13.8" customFormat="1" customHeight="1" s="76">
      <c r="A136" s="311" t="n">
        <v>45780</v>
      </c>
      <c r="B136" s="303" t="n"/>
      <c r="C136" s="74" t="inlineStr">
        <is>
          <t>HYUN</t>
        </is>
      </c>
      <c r="D136" s="72" t="inlineStr">
        <is>
          <t>SANTRO</t>
        </is>
      </c>
      <c r="E136" s="73" t="n">
        <v>2011</v>
      </c>
      <c r="F136" s="73" t="n"/>
      <c r="G136" s="74" t="inlineStr">
        <is>
          <t>GLS BS4</t>
        </is>
      </c>
      <c r="H136" s="73" t="inlineStr">
        <is>
          <t>CR</t>
        </is>
      </c>
      <c r="I136" s="73" t="inlineStr">
        <is>
          <t>M</t>
        </is>
      </c>
      <c r="J136" s="73" t="n">
        <v>2</v>
      </c>
      <c r="K136" s="72" t="n">
        <v>121000</v>
      </c>
      <c r="L136" s="72" t="inlineStr">
        <is>
          <t>WHI</t>
        </is>
      </c>
      <c r="M136" s="73" t="inlineStr">
        <is>
          <t>DDD</t>
        </is>
      </c>
      <c r="N136" s="72" t="inlineStr">
        <is>
          <t>MH04EX0862</t>
        </is>
      </c>
      <c r="O136" s="72" t="n">
        <v>862</v>
      </c>
      <c r="P136" s="73" t="inlineStr">
        <is>
          <t>Z1</t>
        </is>
      </c>
      <c r="Q136" s="75" t="n"/>
      <c r="R136" s="73" t="n"/>
      <c r="T136" s="77" t="n"/>
      <c r="U136" s="78" t="n"/>
      <c r="V136" s="78" t="n"/>
    </row>
    <row r="137" ht="14.4" customFormat="1" customHeight="1" s="18">
      <c r="A137" s="311" t="n">
        <v>45780</v>
      </c>
      <c r="B137" s="303" t="n"/>
      <c r="C137" s="19" t="inlineStr">
        <is>
          <t>VOLK</t>
        </is>
      </c>
      <c r="D137" s="20" t="inlineStr">
        <is>
          <t>VENTO</t>
        </is>
      </c>
      <c r="E137" s="15" t="n">
        <v>2011</v>
      </c>
      <c r="F137" s="15" t="n"/>
      <c r="G137" s="19" t="n"/>
      <c r="H137" s="15" t="inlineStr">
        <is>
          <t>P</t>
        </is>
      </c>
      <c r="I137" s="15" t="inlineStr">
        <is>
          <t>M</t>
        </is>
      </c>
      <c r="J137" s="15" t="n">
        <v>2</v>
      </c>
      <c r="K137" s="20" t="n">
        <v>200000</v>
      </c>
      <c r="L137" s="20" t="inlineStr">
        <is>
          <t>SIL</t>
        </is>
      </c>
      <c r="M137" s="15" t="inlineStr">
        <is>
          <t>DDD</t>
        </is>
      </c>
      <c r="N137" s="20" t="inlineStr">
        <is>
          <t>MH02BR1316</t>
        </is>
      </c>
      <c r="O137" s="20" t="n">
        <v>1316</v>
      </c>
      <c r="P137" s="15" t="n"/>
      <c r="Q137" s="16" t="n"/>
      <c r="R137" s="15" t="n"/>
      <c r="S137" s="15" t="n"/>
      <c r="T137" s="16" t="n"/>
      <c r="U137" s="15" t="n"/>
      <c r="V137" s="15" t="n"/>
    </row>
    <row r="138">
      <c r="A138" s="48" t="n">
        <v>4</v>
      </c>
    </row>
    <row r="139">
      <c r="A139" s="48" t="n">
        <v>5</v>
      </c>
    </row>
    <row r="140" ht="13.8" customFormat="1" customHeight="1" s="84">
      <c r="A140" s="311" t="n">
        <v>45782</v>
      </c>
      <c r="B140" s="303" t="n"/>
      <c r="C140" s="89" t="inlineStr">
        <is>
          <t>TOYO</t>
        </is>
      </c>
      <c r="D140" s="90" t="inlineStr">
        <is>
          <t>ETIOS</t>
        </is>
      </c>
      <c r="E140" s="87" t="n">
        <v>2011</v>
      </c>
      <c r="F140" s="87" t="n"/>
      <c r="G140" s="89" t="inlineStr">
        <is>
          <t>VX</t>
        </is>
      </c>
      <c r="H140" s="87" t="inlineStr">
        <is>
          <t>P</t>
        </is>
      </c>
      <c r="I140" s="87" t="inlineStr">
        <is>
          <t>M</t>
        </is>
      </c>
      <c r="J140" s="87" t="n">
        <v>2</v>
      </c>
      <c r="K140" s="90" t="n">
        <v>215000</v>
      </c>
      <c r="L140" s="90" t="inlineStr">
        <is>
          <t>RED</t>
        </is>
      </c>
      <c r="M140" s="87" t="inlineStr">
        <is>
          <t>DDD</t>
        </is>
      </c>
      <c r="N140" s="90" t="inlineStr">
        <is>
          <t>MH12CB9797</t>
        </is>
      </c>
      <c r="O140" s="90" t="n">
        <v>9797</v>
      </c>
      <c r="P140" s="87" t="inlineStr">
        <is>
          <t>Y5</t>
        </is>
      </c>
      <c r="Q140" s="87" t="n"/>
      <c r="R140" s="87" t="n"/>
    </row>
    <row r="141">
      <c r="A141" s="48" t="n">
        <v>6</v>
      </c>
    </row>
    <row r="142" ht="13.8" customFormat="1" customHeight="1" s="85">
      <c r="A142" s="311" t="n">
        <v>45783</v>
      </c>
      <c r="B142" s="303" t="n"/>
      <c r="C142" s="91" t="inlineStr">
        <is>
          <t>HYUN</t>
        </is>
      </c>
      <c r="D142" s="86" t="inlineStr">
        <is>
          <t>VENUE</t>
        </is>
      </c>
      <c r="E142" s="76" t="n">
        <v>2021</v>
      </c>
      <c r="F142" s="76" t="n"/>
      <c r="G142" s="91" t="inlineStr">
        <is>
          <t>1.2KAPPA</t>
        </is>
      </c>
      <c r="H142" s="76" t="inlineStr">
        <is>
          <t>P</t>
        </is>
      </c>
      <c r="I142" s="76" t="inlineStr">
        <is>
          <t>M</t>
        </is>
      </c>
      <c r="J142" s="76" t="n">
        <v>1</v>
      </c>
      <c r="K142" s="86" t="n">
        <v>506500</v>
      </c>
      <c r="L142" s="86" t="inlineStr">
        <is>
          <t>WHI</t>
        </is>
      </c>
      <c r="M142" s="87" t="inlineStr">
        <is>
          <t>DDD</t>
        </is>
      </c>
      <c r="N142" s="86" t="inlineStr">
        <is>
          <t>MH11CW8906</t>
        </is>
      </c>
      <c r="O142" s="86" t="n">
        <v>8906</v>
      </c>
      <c r="P142" s="76" t="inlineStr">
        <is>
          <t>M1</t>
        </is>
      </c>
      <c r="Q142" s="76" t="n"/>
      <c r="R142" s="76" t="n"/>
    </row>
    <row r="143" ht="13.8" customFormat="1" customHeight="1" s="85">
      <c r="A143" s="311" t="n">
        <v>45783</v>
      </c>
      <c r="B143" s="303" t="n"/>
      <c r="C143" s="74" t="inlineStr">
        <is>
          <t>RENA</t>
        </is>
      </c>
      <c r="D143" s="72" t="inlineStr">
        <is>
          <t>DUSTER</t>
        </is>
      </c>
      <c r="E143" s="73" t="n">
        <v>2013</v>
      </c>
      <c r="F143" s="73" t="n"/>
      <c r="G143" s="74" t="inlineStr">
        <is>
          <t>RXL</t>
        </is>
      </c>
      <c r="H143" s="73" t="inlineStr">
        <is>
          <t>P</t>
        </is>
      </c>
      <c r="I143" s="73" t="inlineStr">
        <is>
          <t>M</t>
        </is>
      </c>
      <c r="J143" s="73" t="n">
        <v>2</v>
      </c>
      <c r="K143" s="72" t="n">
        <v>199000</v>
      </c>
      <c r="L143" s="72" t="inlineStr">
        <is>
          <t>WHI</t>
        </is>
      </c>
      <c r="M143" s="83" t="inlineStr">
        <is>
          <t>DDD</t>
        </is>
      </c>
      <c r="N143" s="72" t="inlineStr">
        <is>
          <t>MH03BH5190</t>
        </is>
      </c>
      <c r="O143" s="72" t="n">
        <v>5190</v>
      </c>
      <c r="P143" s="73" t="inlineStr">
        <is>
          <t>S6</t>
        </is>
      </c>
      <c r="Q143" s="73" t="n"/>
      <c r="R143" s="73" t="n"/>
    </row>
    <row r="144" ht="13.8" customFormat="1" customHeight="1" s="85">
      <c r="A144" s="311" t="n">
        <v>45783</v>
      </c>
      <c r="B144" s="303" t="n"/>
      <c r="C144" s="74" t="inlineStr">
        <is>
          <t>BMW</t>
        </is>
      </c>
      <c r="D144" s="72" t="inlineStr">
        <is>
          <t>118D</t>
        </is>
      </c>
      <c r="E144" s="73" t="n">
        <v>2015</v>
      </c>
      <c r="F144" s="73" t="n"/>
      <c r="G144" s="74" t="inlineStr">
        <is>
          <t>118D</t>
        </is>
      </c>
      <c r="H144" s="73" t="inlineStr">
        <is>
          <t>D</t>
        </is>
      </c>
      <c r="I144" s="73" t="inlineStr">
        <is>
          <t>A</t>
        </is>
      </c>
      <c r="J144" s="73" t="n">
        <v>2</v>
      </c>
      <c r="K144" s="72" t="n">
        <v>729000</v>
      </c>
      <c r="L144" s="72" t="inlineStr">
        <is>
          <t>BLUE</t>
        </is>
      </c>
      <c r="M144" s="73" t="inlineStr">
        <is>
          <t>DDD</t>
        </is>
      </c>
      <c r="N144" s="72" t="inlineStr">
        <is>
          <t>MH03BS8608</t>
        </is>
      </c>
      <c r="O144" s="72" t="n">
        <v>8608</v>
      </c>
      <c r="P144" s="73" t="inlineStr">
        <is>
          <t>Z1</t>
        </is>
      </c>
      <c r="Q144" s="73" t="n"/>
      <c r="R144" s="73" t="inlineStr">
        <is>
          <t>MC</t>
        </is>
      </c>
    </row>
    <row r="145" ht="13.8" customFormat="1" customHeight="1" s="84">
      <c r="A145" s="73" t="n">
        <v>26</v>
      </c>
      <c r="B145" s="76">
        <f>'CTRL F'!#REF!+1</f>
        <v/>
      </c>
      <c r="C145" s="74" t="inlineStr">
        <is>
          <t>MAHI</t>
        </is>
      </c>
      <c r="D145" s="72" t="inlineStr">
        <is>
          <t>XUV 500</t>
        </is>
      </c>
      <c r="E145" s="73" t="n">
        <v>2012</v>
      </c>
      <c r="F145" s="73" t="n"/>
      <c r="G145" s="74" t="inlineStr">
        <is>
          <t>FWD W8</t>
        </is>
      </c>
      <c r="H145" s="73" t="inlineStr">
        <is>
          <t>D</t>
        </is>
      </c>
      <c r="I145" s="73" t="inlineStr">
        <is>
          <t>M</t>
        </is>
      </c>
      <c r="J145" s="73" t="n">
        <v>2</v>
      </c>
      <c r="K145" s="72" t="n">
        <v>309000</v>
      </c>
      <c r="L145" s="72" t="inlineStr">
        <is>
          <t>GREY</t>
        </is>
      </c>
      <c r="M145" s="73" t="inlineStr">
        <is>
          <t>DDD</t>
        </is>
      </c>
      <c r="N145" s="72" t="inlineStr">
        <is>
          <t>MH02CL2183</t>
        </is>
      </c>
      <c r="O145" s="72" t="n">
        <v>2183</v>
      </c>
      <c r="P145" s="73" t="n"/>
      <c r="Q145" s="75" t="n"/>
      <c r="R145" s="73" t="n"/>
    </row>
    <row r="146">
      <c r="A146" s="48" t="n">
        <v>7</v>
      </c>
    </row>
    <row r="147" ht="13.8" customFormat="1" customHeight="1" s="85">
      <c r="A147" s="311" t="n">
        <v>45784</v>
      </c>
      <c r="B147" s="303" t="n"/>
      <c r="C147" s="91" t="inlineStr">
        <is>
          <t>HYUN</t>
        </is>
      </c>
      <c r="D147" s="86" t="inlineStr">
        <is>
          <t>CRETA</t>
        </is>
      </c>
      <c r="E147" s="76" t="n">
        <v>2017</v>
      </c>
      <c r="F147" s="76" t="n"/>
      <c r="G147" s="91" t="n"/>
      <c r="H147" s="76" t="n"/>
      <c r="I147" s="76" t="n"/>
      <c r="J147" s="76" t="n"/>
      <c r="K147" s="86" t="n">
        <v>624854</v>
      </c>
      <c r="L147" s="86" t="n"/>
      <c r="M147" s="76" t="inlineStr">
        <is>
          <t>DDD</t>
        </is>
      </c>
      <c r="N147" s="86" t="inlineStr">
        <is>
          <t>MH02EZ7045</t>
        </is>
      </c>
      <c r="O147" s="86" t="n">
        <v>7045</v>
      </c>
      <c r="P147" s="76" t="inlineStr">
        <is>
          <t>Z2</t>
        </is>
      </c>
      <c r="Q147" s="76" t="n"/>
      <c r="R147" s="76" t="n"/>
    </row>
    <row r="148" ht="13.8" customFormat="1" customHeight="1" s="85">
      <c r="A148" s="311" t="n">
        <v>45784</v>
      </c>
      <c r="B148" s="303" t="n"/>
      <c r="C148" s="74" t="inlineStr">
        <is>
          <t>MARU</t>
        </is>
      </c>
      <c r="D148" s="72" t="inlineStr">
        <is>
          <t>DESIRE</t>
        </is>
      </c>
      <c r="E148" s="73" t="n">
        <v>2018</v>
      </c>
      <c r="F148" s="73" t="n"/>
      <c r="G148" s="74" t="inlineStr">
        <is>
          <t>VDI</t>
        </is>
      </c>
      <c r="H148" s="73" t="inlineStr">
        <is>
          <t>D</t>
        </is>
      </c>
      <c r="I148" s="73" t="inlineStr">
        <is>
          <t>A</t>
        </is>
      </c>
      <c r="J148" s="73" t="n">
        <v>1</v>
      </c>
      <c r="K148" s="72" t="n">
        <v>510000</v>
      </c>
      <c r="L148" s="72" t="inlineStr">
        <is>
          <t>BLUE</t>
        </is>
      </c>
      <c r="M148" s="83" t="inlineStr">
        <is>
          <t>DDD</t>
        </is>
      </c>
      <c r="N148" s="72" t="inlineStr">
        <is>
          <t>MH43BK9416</t>
        </is>
      </c>
      <c r="O148" s="72" t="n">
        <v>9416</v>
      </c>
      <c r="P148" s="73" t="inlineStr">
        <is>
          <t>Z2</t>
        </is>
      </c>
      <c r="Q148" s="73" t="n"/>
      <c r="R148" s="73" t="n"/>
    </row>
    <row r="149" ht="13.8" customFormat="1" customHeight="1" s="85">
      <c r="A149" s="311" t="n">
        <v>45784</v>
      </c>
      <c r="B149" s="303" t="n"/>
      <c r="C149" s="92" t="inlineStr">
        <is>
          <t>BMW</t>
        </is>
      </c>
      <c r="D149" s="88" t="inlineStr">
        <is>
          <t>320 D</t>
        </is>
      </c>
      <c r="E149" s="85" t="n">
        <v>2017</v>
      </c>
      <c r="G149" s="92" t="inlineStr">
        <is>
          <t>LCI</t>
        </is>
      </c>
      <c r="H149" s="85" t="inlineStr">
        <is>
          <t>D</t>
        </is>
      </c>
      <c r="I149" s="85" t="inlineStr">
        <is>
          <t>A</t>
        </is>
      </c>
      <c r="J149" s="85" t="n">
        <v>2</v>
      </c>
      <c r="K149" s="88" t="n">
        <v>1099000</v>
      </c>
      <c r="L149" s="88" t="inlineStr">
        <is>
          <t>BULU</t>
        </is>
      </c>
      <c r="M149" s="84" t="inlineStr">
        <is>
          <t>DDD</t>
        </is>
      </c>
      <c r="N149" s="88" t="inlineStr">
        <is>
          <t>MH01CT0490</t>
        </is>
      </c>
      <c r="O149" s="88" t="n">
        <v>490</v>
      </c>
      <c r="P149" s="85" t="inlineStr">
        <is>
          <t>A1</t>
        </is>
      </c>
    </row>
    <row r="150" ht="13.8" customFormat="1" customHeight="1" s="92">
      <c r="A150" s="76" t="n">
        <v>45</v>
      </c>
      <c r="B150" s="76">
        <f>'CTRL F'!B67+1</f>
        <v/>
      </c>
      <c r="C150" s="91" t="inlineStr">
        <is>
          <t>SKODA</t>
        </is>
      </c>
      <c r="D150" s="86" t="inlineStr">
        <is>
          <t>SUPERB</t>
        </is>
      </c>
      <c r="E150" s="76" t="n">
        <v>2015</v>
      </c>
      <c r="F150" s="76" t="inlineStr">
        <is>
          <t>DEC</t>
        </is>
      </c>
      <c r="G150" s="91" t="inlineStr">
        <is>
          <t>ELEGANCE</t>
        </is>
      </c>
      <c r="H150" s="76" t="inlineStr">
        <is>
          <t>P</t>
        </is>
      </c>
      <c r="I150" s="76" t="inlineStr">
        <is>
          <t>M</t>
        </is>
      </c>
      <c r="J150" s="76" t="n">
        <v>2</v>
      </c>
      <c r="K150" s="86" t="n">
        <v>579000</v>
      </c>
      <c r="L150" s="86" t="inlineStr">
        <is>
          <t>BLACK</t>
        </is>
      </c>
      <c r="M150" s="87" t="inlineStr">
        <is>
          <t>DDD</t>
        </is>
      </c>
      <c r="N150" s="86" t="inlineStr">
        <is>
          <t>MH01BY9382</t>
        </is>
      </c>
      <c r="O150" s="86" t="n">
        <v>9382</v>
      </c>
      <c r="P150" s="76" t="n"/>
      <c r="Q150" s="76" t="n"/>
      <c r="R150" s="76" t="n"/>
      <c r="S150" s="91" t="n"/>
      <c r="T150" s="91" t="n"/>
    </row>
    <row r="151">
      <c r="A151" s="48" t="n">
        <v>8</v>
      </c>
    </row>
    <row r="152" ht="13.8" customFormat="1" customHeight="1" s="85">
      <c r="A152" s="76" t="n">
        <v>166</v>
      </c>
      <c r="B152" s="76">
        <f>'DONT TOUCH SOLD'!B164+1</f>
        <v/>
      </c>
      <c r="C152" s="91" t="inlineStr">
        <is>
          <t>MARU</t>
        </is>
      </c>
      <c r="D152" s="86" t="inlineStr">
        <is>
          <t>SWIFT</t>
        </is>
      </c>
      <c r="E152" s="76" t="inlineStr">
        <is>
          <t>2006/26</t>
        </is>
      </c>
      <c r="F152" s="76" t="n"/>
      <c r="G152" s="91" t="n"/>
      <c r="H152" s="76" t="inlineStr">
        <is>
          <t>P</t>
        </is>
      </c>
      <c r="I152" s="76" t="inlineStr">
        <is>
          <t>M</t>
        </is>
      </c>
      <c r="J152" s="76" t="n">
        <v>4</v>
      </c>
      <c r="K152" s="86" t="n">
        <v>66000</v>
      </c>
      <c r="L152" s="86" t="inlineStr">
        <is>
          <t>GREY</t>
        </is>
      </c>
      <c r="M152" s="87" t="inlineStr">
        <is>
          <t>DDD</t>
        </is>
      </c>
      <c r="N152" s="86" t="inlineStr">
        <is>
          <t>MH05AB5180</t>
        </is>
      </c>
      <c r="O152" s="86" t="n">
        <v>5180</v>
      </c>
      <c r="P152" s="76" t="inlineStr">
        <is>
          <t>Z1</t>
        </is>
      </c>
      <c r="Q152" s="76" t="n"/>
      <c r="R152" s="76" t="n"/>
      <c r="S152" s="76" t="n"/>
      <c r="T152" s="76" t="n"/>
    </row>
    <row r="153" ht="13.8" customFormat="1" customHeight="1" s="85">
      <c r="A153" s="76" t="n">
        <v>57</v>
      </c>
      <c r="B153" s="76">
        <f>'CTRL F'!B84+1</f>
        <v/>
      </c>
      <c r="C153" s="91" t="inlineStr">
        <is>
          <t>TOYO</t>
        </is>
      </c>
      <c r="D153" s="86" t="inlineStr">
        <is>
          <t>INNOVA</t>
        </is>
      </c>
      <c r="E153" s="76" t="inlineStr">
        <is>
          <t>2008/29</t>
        </is>
      </c>
      <c r="F153" s="76" t="n"/>
      <c r="G153" s="91" t="inlineStr">
        <is>
          <t>2.5 G</t>
        </is>
      </c>
      <c r="H153" s="76" t="inlineStr">
        <is>
          <t>D</t>
        </is>
      </c>
      <c r="I153" s="76" t="inlineStr">
        <is>
          <t>M</t>
        </is>
      </c>
      <c r="J153" s="76" t="n">
        <v>3</v>
      </c>
      <c r="K153" s="86" t="n">
        <v>306000</v>
      </c>
      <c r="L153" s="86" t="inlineStr">
        <is>
          <t>GREY</t>
        </is>
      </c>
      <c r="M153" s="87" t="inlineStr">
        <is>
          <t>DDD</t>
        </is>
      </c>
      <c r="N153" s="86" t="inlineStr">
        <is>
          <t>MH06AS3116</t>
        </is>
      </c>
      <c r="O153" s="86" t="n">
        <v>3116</v>
      </c>
      <c r="P153" s="76" t="inlineStr">
        <is>
          <t>L2</t>
        </is>
      </c>
      <c r="Q153" s="76" t="n"/>
      <c r="R153" s="76" t="n"/>
      <c r="S153" s="76" t="n"/>
      <c r="T153" s="76" t="n"/>
    </row>
    <row r="155" ht="13.8" customFormat="1" customHeight="1" s="85">
      <c r="A155" s="76" t="n"/>
      <c r="B155" s="76" t="n"/>
      <c r="C155" s="91" t="n"/>
      <c r="D155" s="86" t="n"/>
      <c r="E155" s="76" t="n"/>
      <c r="F155" s="76" t="n"/>
      <c r="G155" s="91" t="n"/>
      <c r="H155" s="76" t="n"/>
      <c r="I155" s="76" t="n"/>
      <c r="J155" s="76" t="n"/>
      <c r="K155" s="86" t="n"/>
      <c r="L155" s="86" t="n"/>
      <c r="M155" s="87" t="n"/>
      <c r="N155" s="86" t="n"/>
      <c r="O155" s="86" t="n"/>
      <c r="P155" s="76" t="n"/>
      <c r="Q155" s="104" t="n"/>
      <c r="R155" s="76" t="n"/>
      <c r="S155" s="76" t="n"/>
      <c r="T155" s="76" t="n"/>
    </row>
    <row r="156" ht="13.8" customFormat="1" customHeight="1" s="85">
      <c r="A156" s="87" t="n">
        <v>9</v>
      </c>
      <c r="B156" s="76" t="n"/>
      <c r="C156" s="91" t="n"/>
      <c r="D156" s="86" t="n"/>
      <c r="E156" s="76" t="n"/>
      <c r="F156" s="76" t="n"/>
      <c r="G156" s="91" t="n"/>
      <c r="H156" s="76" t="n"/>
      <c r="I156" s="76" t="n"/>
      <c r="J156" s="76" t="n"/>
      <c r="K156" s="86" t="n"/>
      <c r="L156" s="86" t="n"/>
      <c r="M156" s="87" t="n"/>
      <c r="N156" s="86" t="n"/>
      <c r="O156" s="86" t="n"/>
      <c r="P156" s="76" t="n"/>
      <c r="Q156" s="104" t="n"/>
      <c r="R156" s="76" t="n"/>
      <c r="S156" s="76" t="n"/>
      <c r="T156" s="76" t="n"/>
    </row>
    <row r="157" customFormat="1" s="18">
      <c r="A157" s="14" t="n">
        <v>53</v>
      </c>
      <c r="B157" s="15">
        <f>'CTRL F'!B78+1</f>
        <v/>
      </c>
      <c r="C157" s="17" t="inlineStr">
        <is>
          <t>TOYO</t>
        </is>
      </c>
      <c r="D157" s="13" t="inlineStr">
        <is>
          <t>INNOVA</t>
        </is>
      </c>
      <c r="E157" s="14" t="n">
        <v>2006</v>
      </c>
      <c r="F157" s="14" t="n"/>
      <c r="G157" s="17" t="inlineStr">
        <is>
          <t>2.5 T4</t>
        </is>
      </c>
      <c r="H157" s="14" t="inlineStr">
        <is>
          <t>D</t>
        </is>
      </c>
      <c r="I157" s="14" t="inlineStr">
        <is>
          <t>M</t>
        </is>
      </c>
      <c r="J157" s="14" t="n">
        <v>3</v>
      </c>
      <c r="K157" s="13" t="n">
        <v>235000</v>
      </c>
      <c r="L157" s="13" t="inlineStr">
        <is>
          <t>WHI</t>
        </is>
      </c>
      <c r="M157" s="290" t="inlineStr">
        <is>
          <t>DDD</t>
        </is>
      </c>
      <c r="N157" s="13" t="inlineStr">
        <is>
          <t>MH04CN6644</t>
        </is>
      </c>
      <c r="O157" s="13" t="n">
        <v>6644</v>
      </c>
      <c r="P157" s="14" t="inlineStr">
        <is>
          <t>Y4</t>
        </is>
      </c>
      <c r="Q157" s="96" t="n"/>
      <c r="R157" s="14" t="n"/>
      <c r="S157" s="15" t="n"/>
      <c r="T157" s="15" t="n"/>
    </row>
    <row r="160">
      <c r="A160" s="48" t="n">
        <v>10</v>
      </c>
    </row>
    <row r="161" ht="13.8" customFormat="1" customHeight="1" s="85">
      <c r="P161" s="76" t="n"/>
      <c r="Q161" s="104" t="n"/>
      <c r="R161" s="76" t="n"/>
      <c r="S161" s="76" t="n"/>
      <c r="T161" s="1" t="n"/>
    </row>
    <row r="162" customFormat="1" s="18">
      <c r="A162" s="15" t="n">
        <v>73</v>
      </c>
      <c r="B162" s="15">
        <f>'CTRL F'!B103+1</f>
        <v/>
      </c>
      <c r="C162" s="19" t="inlineStr">
        <is>
          <t>MERC</t>
        </is>
      </c>
      <c r="D162" s="20" t="inlineStr">
        <is>
          <t xml:space="preserve">A 180 </t>
        </is>
      </c>
      <c r="E162" s="15" t="n">
        <v>2013</v>
      </c>
      <c r="F162" s="15" t="n"/>
      <c r="G162" s="19" t="inlineStr">
        <is>
          <t>CDI</t>
        </is>
      </c>
      <c r="H162" s="15" t="inlineStr">
        <is>
          <t>P</t>
        </is>
      </c>
      <c r="I162" s="15" t="inlineStr">
        <is>
          <t>M</t>
        </is>
      </c>
      <c r="J162" s="15" t="n">
        <v>2</v>
      </c>
      <c r="K162" s="20" t="n">
        <v>699000</v>
      </c>
      <c r="L162" s="20" t="inlineStr">
        <is>
          <t>WHITE</t>
        </is>
      </c>
      <c r="M162" s="289" t="inlineStr">
        <is>
          <t>DDD</t>
        </is>
      </c>
      <c r="N162" s="20" t="inlineStr">
        <is>
          <t>MH04FV1512</t>
        </is>
      </c>
      <c r="O162" s="20" t="n">
        <v>1512</v>
      </c>
      <c r="P162" s="15" t="n"/>
      <c r="Q162" s="16" t="n"/>
      <c r="R162" s="15" t="n"/>
      <c r="S162" s="15" t="n"/>
      <c r="T162" s="15" t="n"/>
    </row>
    <row r="163" customFormat="1" s="18">
      <c r="A163" s="15" t="n">
        <v>89</v>
      </c>
      <c r="B163" s="15">
        <f>'CTRL F'!B120+1</f>
        <v/>
      </c>
      <c r="C163" s="19" t="inlineStr">
        <is>
          <t>HOND</t>
        </is>
      </c>
      <c r="D163" s="20" t="inlineStr">
        <is>
          <t>CITY</t>
        </is>
      </c>
      <c r="E163" s="15" t="inlineStr">
        <is>
          <t>2011/07</t>
        </is>
      </c>
      <c r="F163" s="15" t="n"/>
      <c r="G163" s="19" t="inlineStr">
        <is>
          <t>1.5 VMT</t>
        </is>
      </c>
      <c r="H163" s="15" t="inlineStr">
        <is>
          <t>P</t>
        </is>
      </c>
      <c r="I163" s="15" t="inlineStr">
        <is>
          <t>M</t>
        </is>
      </c>
      <c r="J163" s="15" t="n">
        <v>1</v>
      </c>
      <c r="K163" s="20" t="n">
        <v>171500</v>
      </c>
      <c r="L163" s="20" t="inlineStr">
        <is>
          <t>WHI</t>
        </is>
      </c>
      <c r="M163" s="289" t="inlineStr">
        <is>
          <t>DDD</t>
        </is>
      </c>
      <c r="N163" s="20" t="inlineStr">
        <is>
          <t>MH14CS7386</t>
        </is>
      </c>
      <c r="O163" s="20" t="n">
        <v>7386</v>
      </c>
      <c r="P163" s="15" t="inlineStr">
        <is>
          <t>S6</t>
        </is>
      </c>
      <c r="Q163" s="16" t="n"/>
      <c r="R163" s="15" t="n"/>
      <c r="S163" s="15" t="n"/>
      <c r="T163" s="15" t="n"/>
    </row>
    <row r="164" customFormat="1" s="103">
      <c r="A164" s="98" t="n">
        <v>167</v>
      </c>
      <c r="B164" s="98">
        <f>'CTRL F'!B151+1</f>
        <v/>
      </c>
      <c r="C164" s="99" t="inlineStr">
        <is>
          <t>MARU</t>
        </is>
      </c>
      <c r="D164" s="100" t="inlineStr">
        <is>
          <t>SWIFT</t>
        </is>
      </c>
      <c r="E164" s="101" t="inlineStr">
        <is>
          <t>2006/26</t>
        </is>
      </c>
      <c r="F164" s="101" t="n"/>
      <c r="G164" s="99" t="inlineStr">
        <is>
          <t>VXI</t>
        </is>
      </c>
      <c r="H164" s="101" t="inlineStr">
        <is>
          <t>CR</t>
        </is>
      </c>
      <c r="I164" s="101" t="inlineStr">
        <is>
          <t>M</t>
        </is>
      </c>
      <c r="J164" s="101" t="n">
        <v>3</v>
      </c>
      <c r="K164" s="100" t="n">
        <v>69000</v>
      </c>
      <c r="L164" s="100" t="inlineStr">
        <is>
          <t>RED</t>
        </is>
      </c>
      <c r="M164" s="292" t="inlineStr">
        <is>
          <t>DDD</t>
        </is>
      </c>
      <c r="N164" s="100" t="inlineStr">
        <is>
          <t>MH01VA0082</t>
        </is>
      </c>
      <c r="O164" s="100" t="n">
        <v>82</v>
      </c>
      <c r="P164" s="101" t="inlineStr">
        <is>
          <t>DDD</t>
        </is>
      </c>
      <c r="Q164" s="102" t="n"/>
      <c r="R164" s="101" t="n"/>
      <c r="S164" s="98" t="n"/>
      <c r="T164" s="98" t="n"/>
    </row>
    <row r="165">
      <c r="A165" s="48" t="n">
        <v>12</v>
      </c>
    </row>
    <row r="166" customFormat="1" s="18">
      <c r="A166" s="95" t="n">
        <v>47</v>
      </c>
      <c r="B166" s="15">
        <f>'CTRL F'!B67+1</f>
        <v/>
      </c>
      <c r="C166" s="93" t="inlineStr">
        <is>
          <t>SKODA</t>
        </is>
      </c>
      <c r="D166" s="94" t="inlineStr">
        <is>
          <t>SUPERB</t>
        </is>
      </c>
      <c r="E166" s="95" t="n">
        <v>2016</v>
      </c>
      <c r="F166" s="95" t="n"/>
      <c r="G166" s="93" t="inlineStr">
        <is>
          <t>AT 1.8 TS</t>
        </is>
      </c>
      <c r="H166" s="95" t="inlineStr">
        <is>
          <t>P</t>
        </is>
      </c>
      <c r="I166" s="95" t="inlineStr">
        <is>
          <t>M</t>
        </is>
      </c>
      <c r="J166" s="95" t="n">
        <v>2</v>
      </c>
      <c r="K166" s="94" t="n">
        <v>700500</v>
      </c>
      <c r="L166" s="94" t="inlineStr">
        <is>
          <t>BROW</t>
        </is>
      </c>
      <c r="M166" s="33" t="inlineStr">
        <is>
          <t>DDD</t>
        </is>
      </c>
      <c r="N166" s="94" t="inlineStr">
        <is>
          <t>MH48AK2215</t>
        </is>
      </c>
      <c r="O166" s="94" t="n">
        <v>2215</v>
      </c>
      <c r="P166" s="95" t="inlineStr">
        <is>
          <t>V3</t>
        </is>
      </c>
      <c r="Q166" s="97" t="n"/>
      <c r="R166" s="95" t="n"/>
      <c r="S166" s="15" t="n"/>
      <c r="T166" s="15" t="n"/>
    </row>
    <row r="167" customFormat="1" s="18">
      <c r="A167" s="105" t="n">
        <v>177</v>
      </c>
      <c r="B167" s="105">
        <f>'CTRL F'!#REF!+1</f>
        <v/>
      </c>
      <c r="C167" s="109" t="inlineStr">
        <is>
          <t>VOX</t>
        </is>
      </c>
      <c r="D167" s="107" t="inlineStr">
        <is>
          <t>POLO</t>
        </is>
      </c>
      <c r="E167" s="105" t="n">
        <v>2011</v>
      </c>
      <c r="F167" s="105" t="n"/>
      <c r="G167" s="106" t="inlineStr">
        <is>
          <t xml:space="preserve">1.2 CR </t>
        </is>
      </c>
      <c r="H167" s="105" t="inlineStr">
        <is>
          <t>p</t>
        </is>
      </c>
      <c r="I167" s="105" t="inlineStr">
        <is>
          <t>M</t>
        </is>
      </c>
      <c r="J167" s="105" t="n">
        <v>2</v>
      </c>
      <c r="K167" s="107" t="n">
        <v>211000</v>
      </c>
      <c r="L167" s="107" t="inlineStr">
        <is>
          <t>RED</t>
        </is>
      </c>
      <c r="M167" s="108" t="inlineStr">
        <is>
          <t>DDD</t>
        </is>
      </c>
      <c r="N167" s="107" t="inlineStr">
        <is>
          <t>MH02CB7826</t>
        </is>
      </c>
      <c r="O167" s="107" t="n">
        <v>7826</v>
      </c>
      <c r="P167" s="105" t="n"/>
      <c r="Q167" s="16" t="n"/>
      <c r="R167" s="15" t="n"/>
      <c r="S167" s="15" t="n"/>
      <c r="T167" s="15" t="n"/>
    </row>
    <row r="168" customFormat="1" s="18">
      <c r="A168" s="105" t="n">
        <v>5</v>
      </c>
      <c r="B168" s="105">
        <f>'CTRL F'!B6+1</f>
        <v/>
      </c>
      <c r="C168" s="106" t="inlineStr">
        <is>
          <t>LAND</t>
        </is>
      </c>
      <c r="D168" s="107" t="inlineStr">
        <is>
          <t>FREELAND</t>
        </is>
      </c>
      <c r="E168" s="105" t="n">
        <v>2015</v>
      </c>
      <c r="F168" s="105" t="n"/>
      <c r="G168" s="106" t="inlineStr">
        <is>
          <t>2.2 DSL</t>
        </is>
      </c>
      <c r="H168" s="105" t="inlineStr">
        <is>
          <t>D</t>
        </is>
      </c>
      <c r="I168" s="105" t="inlineStr">
        <is>
          <t>A</t>
        </is>
      </c>
      <c r="J168" s="105" t="n">
        <v>1</v>
      </c>
      <c r="K168" s="107" t="n">
        <v>880000</v>
      </c>
      <c r="L168" s="107" t="inlineStr">
        <is>
          <t>SIL</t>
        </is>
      </c>
      <c r="M168" s="108" t="inlineStr">
        <is>
          <t>DDD</t>
        </is>
      </c>
      <c r="N168" s="107" t="inlineStr">
        <is>
          <t>MH02DZ4505</t>
        </is>
      </c>
      <c r="O168" s="107" t="inlineStr"/>
      <c r="P168" s="105" t="inlineStr">
        <is>
          <t>HOME</t>
        </is>
      </c>
      <c r="Q168" s="16" t="n"/>
      <c r="R168" s="15" t="n"/>
      <c r="S168" s="15" t="n"/>
      <c r="T168" s="15" t="n"/>
    </row>
    <row r="169">
      <c r="A169" s="48" t="n">
        <v>13</v>
      </c>
    </row>
    <row r="170" customFormat="1" s="113">
      <c r="A170" s="113" t="n">
        <v>186</v>
      </c>
      <c r="B170" s="136">
        <f>'CTRL F'!B98+1</f>
        <v/>
      </c>
      <c r="C170" s="116" t="inlineStr">
        <is>
          <t>AUDI</t>
        </is>
      </c>
      <c r="D170" s="115" t="inlineStr">
        <is>
          <t>Q7</t>
        </is>
      </c>
      <c r="E170" s="113" t="n">
        <v>2012</v>
      </c>
      <c r="G170" s="116" t="inlineStr">
        <is>
          <t>3.0 TDI</t>
        </is>
      </c>
      <c r="H170" s="113" t="inlineStr">
        <is>
          <t>D</t>
        </is>
      </c>
      <c r="I170" s="113" t="inlineStr">
        <is>
          <t>A</t>
        </is>
      </c>
      <c r="J170" s="113" t="n">
        <v>3</v>
      </c>
      <c r="K170" s="115" t="n">
        <v>545000</v>
      </c>
      <c r="L170" s="115" t="inlineStr">
        <is>
          <t>WHI</t>
        </is>
      </c>
      <c r="M170" s="111" t="inlineStr">
        <is>
          <t>DDD</t>
        </is>
      </c>
      <c r="N170" s="115" t="inlineStr">
        <is>
          <t>MH12JC8822</t>
        </is>
      </c>
      <c r="O170" s="115" t="n">
        <v>8822</v>
      </c>
    </row>
    <row r="171" customFormat="1" s="116">
      <c r="A171" s="136" t="n">
        <v>89</v>
      </c>
      <c r="B171" s="136">
        <f>'CTRL F'!B119+1</f>
        <v/>
      </c>
      <c r="C171" s="137" t="inlineStr">
        <is>
          <t>HYUN</t>
        </is>
      </c>
      <c r="D171" s="138" t="inlineStr">
        <is>
          <t>VERNA</t>
        </is>
      </c>
      <c r="E171" s="136" t="n">
        <v>2012</v>
      </c>
      <c r="F171" s="136" t="n"/>
      <c r="G171" s="137" t="n"/>
      <c r="H171" s="136" t="inlineStr">
        <is>
          <t>D</t>
        </is>
      </c>
      <c r="I171" s="136" t="inlineStr">
        <is>
          <t>A</t>
        </is>
      </c>
      <c r="J171" s="136" t="n">
        <v>2</v>
      </c>
      <c r="K171" s="138" t="n">
        <v>249000</v>
      </c>
      <c r="L171" s="138" t="n"/>
      <c r="M171" s="110" t="inlineStr">
        <is>
          <t>DDD</t>
        </is>
      </c>
      <c r="N171" s="138" t="inlineStr">
        <is>
          <t>MH04FR3676</t>
        </is>
      </c>
      <c r="O171" s="138" t="n">
        <v>3676</v>
      </c>
      <c r="P171" s="136" t="inlineStr">
        <is>
          <t>Z1</t>
        </is>
      </c>
      <c r="Q171" s="136" t="n"/>
      <c r="R171" s="136" t="n"/>
      <c r="S171" s="137" t="n"/>
      <c r="T171" s="117" t="n"/>
    </row>
    <row r="172">
      <c r="A172" s="48" t="n">
        <v>14</v>
      </c>
    </row>
    <row r="173" customFormat="1" s="116">
      <c r="A173" s="162" t="n">
        <v>37</v>
      </c>
      <c r="B173" s="136">
        <f>'CTRL F'!B59+1</f>
        <v/>
      </c>
      <c r="C173" s="112" t="inlineStr">
        <is>
          <t>MARU</t>
        </is>
      </c>
      <c r="D173" s="163" t="inlineStr">
        <is>
          <t>ERTIGA</t>
        </is>
      </c>
      <c r="E173" s="162" t="n">
        <v>2017</v>
      </c>
      <c r="F173" s="162" t="n"/>
      <c r="G173" s="112" t="inlineStr">
        <is>
          <t>VXI</t>
        </is>
      </c>
      <c r="H173" s="162" t="inlineStr">
        <is>
          <t>C</t>
        </is>
      </c>
      <c r="I173" s="162" t="inlineStr">
        <is>
          <t>A</t>
        </is>
      </c>
      <c r="J173" s="162" t="n">
        <v>2</v>
      </c>
      <c r="K173" s="163" t="n">
        <v>600000</v>
      </c>
      <c r="L173" s="163" t="inlineStr">
        <is>
          <t>SIL</t>
        </is>
      </c>
      <c r="M173" s="145" t="inlineStr">
        <is>
          <t>DDD</t>
        </is>
      </c>
      <c r="N173" s="163" t="inlineStr">
        <is>
          <t>MH47QU5611</t>
        </is>
      </c>
      <c r="O173" s="163" t="n">
        <v>5611</v>
      </c>
      <c r="P173" s="162" t="n"/>
      <c r="Q173" s="118" t="n"/>
      <c r="R173" s="162" t="n"/>
      <c r="S173" s="137" t="n"/>
      <c r="T173" s="117" t="n"/>
    </row>
    <row r="174" customFormat="1" s="113">
      <c r="A174" s="136" t="n">
        <v>42</v>
      </c>
      <c r="B174" s="136">
        <f>'CTRL F'!B63+1</f>
        <v/>
      </c>
      <c r="C174" s="137" t="inlineStr">
        <is>
          <t>MG</t>
        </is>
      </c>
      <c r="D174" s="138" t="inlineStr">
        <is>
          <t>ASTOR</t>
        </is>
      </c>
      <c r="E174" s="136" t="n">
        <v>2021</v>
      </c>
      <c r="F174" s="136" t="n"/>
      <c r="G174" s="137" t="inlineStr">
        <is>
          <t>MT SHARP</t>
        </is>
      </c>
      <c r="H174" s="136" t="inlineStr">
        <is>
          <t>P</t>
        </is>
      </c>
      <c r="I174" s="136" t="inlineStr">
        <is>
          <t>M</t>
        </is>
      </c>
      <c r="J174" s="136" t="n">
        <v>1</v>
      </c>
      <c r="K174" s="138" t="n">
        <v>835000</v>
      </c>
      <c r="L174" s="138" t="inlineStr">
        <is>
          <t>WHI</t>
        </is>
      </c>
      <c r="M174" s="110" t="inlineStr">
        <is>
          <t>DDD</t>
        </is>
      </c>
      <c r="N174" s="138" t="inlineStr">
        <is>
          <t>MH47BB2784</t>
        </is>
      </c>
      <c r="O174" s="138" t="n">
        <v>2784</v>
      </c>
      <c r="P174" s="136" t="n"/>
      <c r="Q174" s="114" t="n"/>
      <c r="R174" s="136" t="n"/>
      <c r="S174" s="136" t="n"/>
      <c r="T174" s="114" t="n"/>
    </row>
    <row r="175" customFormat="1" s="113">
      <c r="A175" s="136" t="n">
        <v>69</v>
      </c>
      <c r="B175" s="136">
        <f>'CTRL F'!B100+1</f>
        <v/>
      </c>
      <c r="C175" s="163" t="inlineStr">
        <is>
          <t>MERC</t>
        </is>
      </c>
      <c r="D175" s="163" t="inlineStr">
        <is>
          <t>BENZ</t>
        </is>
      </c>
      <c r="E175" s="162" t="n">
        <v>2004</v>
      </c>
      <c r="F175" s="162" t="n"/>
      <c r="G175" s="112" t="n"/>
      <c r="H175" s="162" t="inlineStr">
        <is>
          <t>P</t>
        </is>
      </c>
      <c r="I175" s="162" t="inlineStr">
        <is>
          <t>A</t>
        </is>
      </c>
      <c r="J175" s="162" t="n">
        <v>2</v>
      </c>
      <c r="K175" s="163" t="n">
        <v>90000</v>
      </c>
      <c r="L175" s="163" t="inlineStr">
        <is>
          <t>BLACK</t>
        </is>
      </c>
      <c r="M175" s="145" t="inlineStr">
        <is>
          <t>DDD</t>
        </is>
      </c>
      <c r="N175" s="163" t="inlineStr">
        <is>
          <t>MH01NA3768</t>
        </is>
      </c>
      <c r="O175" s="163" t="n">
        <v>3768</v>
      </c>
      <c r="P175" s="162" t="inlineStr">
        <is>
          <t>L99</t>
        </is>
      </c>
      <c r="Q175" s="118" t="n"/>
      <c r="R175" s="162" t="n"/>
      <c r="S175" s="136" t="n"/>
      <c r="T175" s="114" t="n"/>
    </row>
    <row r="176">
      <c r="A176" s="48" t="n">
        <v>15</v>
      </c>
    </row>
    <row r="177" ht="13.8" customFormat="1" customHeight="1" s="120">
      <c r="A177" s="187" t="n">
        <v>43</v>
      </c>
      <c r="B177" s="187">
        <f>'CTRL F'!B63+1</f>
        <v/>
      </c>
      <c r="C177" s="158" t="inlineStr">
        <is>
          <t>MG</t>
        </is>
      </c>
      <c r="D177" s="159" t="inlineStr">
        <is>
          <t xml:space="preserve">HECTOR </t>
        </is>
      </c>
      <c r="E177" s="187" t="n">
        <v>2019</v>
      </c>
      <c r="F177" s="187" t="n"/>
      <c r="G177" s="158" t="inlineStr">
        <is>
          <t xml:space="preserve">1.5 DCT </t>
        </is>
      </c>
      <c r="H177" s="187" t="inlineStr">
        <is>
          <t>P</t>
        </is>
      </c>
      <c r="I177" s="187" t="inlineStr">
        <is>
          <t>M</t>
        </is>
      </c>
      <c r="J177" s="187" t="n">
        <v>2</v>
      </c>
      <c r="K177" s="159" t="n">
        <v>870000</v>
      </c>
      <c r="L177" s="159" t="inlineStr">
        <is>
          <t>SIL</t>
        </is>
      </c>
      <c r="M177" s="210" t="inlineStr">
        <is>
          <t>DDD</t>
        </is>
      </c>
      <c r="N177" s="159" t="inlineStr">
        <is>
          <t>MH01DK3742</t>
        </is>
      </c>
      <c r="O177" s="159" t="n">
        <v>3742</v>
      </c>
      <c r="P177" s="187" t="n"/>
      <c r="Q177" s="119" t="n"/>
      <c r="R177" s="187" t="n"/>
      <c r="S177" s="187" t="n"/>
      <c r="T177" s="119" t="n"/>
    </row>
    <row r="178" ht="13.8" customFormat="1" customHeight="1" s="120">
      <c r="A178" s="187" t="n">
        <v>136</v>
      </c>
      <c r="B178" s="187">
        <f>'CTRL F'!B172+1</f>
        <v/>
      </c>
      <c r="C178" s="158" t="inlineStr">
        <is>
          <t>VOX</t>
        </is>
      </c>
      <c r="D178" s="159" t="inlineStr">
        <is>
          <t>VENTO</t>
        </is>
      </c>
      <c r="E178" s="187" t="n">
        <v>2012</v>
      </c>
      <c r="F178" s="187" t="n"/>
      <c r="G178" s="158" t="n"/>
      <c r="H178" s="187" t="inlineStr">
        <is>
          <t>D</t>
        </is>
      </c>
      <c r="I178" s="187" t="inlineStr">
        <is>
          <t>M</t>
        </is>
      </c>
      <c r="J178" s="187" t="n">
        <v>2</v>
      </c>
      <c r="K178" s="159" t="n">
        <v>201500</v>
      </c>
      <c r="L178" s="159" t="inlineStr">
        <is>
          <t>BLUE</t>
        </is>
      </c>
      <c r="M178" s="210" t="inlineStr">
        <is>
          <t>DDD</t>
        </is>
      </c>
      <c r="N178" s="159" t="inlineStr">
        <is>
          <t>MH04FA8450</t>
        </is>
      </c>
      <c r="O178" s="159" t="n">
        <v>8450</v>
      </c>
      <c r="P178" s="187" t="n"/>
      <c r="Q178" s="187" t="n"/>
      <c r="R178" s="187" t="n"/>
      <c r="S178" s="187" t="n"/>
      <c r="T178" s="119" t="n"/>
    </row>
    <row r="179" ht="13.8" customFormat="1" customHeight="1" s="120">
      <c r="A179" s="187" t="n">
        <v>182</v>
      </c>
      <c r="B179" s="187">
        <f>'CTRL F'!#REF!+1</f>
        <v/>
      </c>
      <c r="C179" s="158" t="n"/>
      <c r="D179" s="159" t="n"/>
      <c r="E179" s="187" t="n"/>
      <c r="F179" s="187" t="n"/>
      <c r="G179" s="158" t="n"/>
      <c r="H179" s="187" t="n"/>
      <c r="I179" s="187" t="n"/>
      <c r="J179" s="187" t="n"/>
      <c r="K179" s="159" t="n"/>
      <c r="L179" s="159" t="inlineStr">
        <is>
          <t>REP</t>
        </is>
      </c>
      <c r="M179" s="210" t="inlineStr">
        <is>
          <t>DDD</t>
        </is>
      </c>
      <c r="N179" s="159" t="inlineStr">
        <is>
          <t>MH02BT0774</t>
        </is>
      </c>
      <c r="O179" s="159" t="n">
        <v>774</v>
      </c>
      <c r="P179" s="187" t="n"/>
      <c r="Q179" s="187" t="n"/>
      <c r="R179" s="187" t="n"/>
      <c r="S179" s="187" t="n"/>
      <c r="T179" s="119" t="n"/>
    </row>
    <row r="180">
      <c r="A180" s="48" t="n">
        <v>16</v>
      </c>
    </row>
    <row r="181" ht="13.8" customFormat="1" customHeight="1" s="120">
      <c r="A181" s="187" t="n">
        <v>83</v>
      </c>
      <c r="B181" s="187">
        <f>'CTRL F'!B40+1</f>
        <v/>
      </c>
      <c r="C181" s="158" t="inlineStr">
        <is>
          <t>HOND</t>
        </is>
      </c>
      <c r="D181" s="159" t="inlineStr">
        <is>
          <t>CITY</t>
        </is>
      </c>
      <c r="E181" s="187" t="inlineStr">
        <is>
          <t>2010/30</t>
        </is>
      </c>
      <c r="F181" s="187" t="n"/>
      <c r="G181" s="158" t="inlineStr">
        <is>
          <t>XM</t>
        </is>
      </c>
      <c r="H181" s="187" t="inlineStr">
        <is>
          <t>CR</t>
        </is>
      </c>
      <c r="I181" s="187" t="inlineStr">
        <is>
          <t>A</t>
        </is>
      </c>
      <c r="J181" s="187" t="n">
        <v>3</v>
      </c>
      <c r="K181" s="159" t="n">
        <v>190000</v>
      </c>
      <c r="L181" s="159" t="inlineStr">
        <is>
          <t>SIL</t>
        </is>
      </c>
      <c r="M181" s="210" t="inlineStr">
        <is>
          <t>DDD</t>
        </is>
      </c>
      <c r="N181" s="159" t="inlineStr">
        <is>
          <t>MH01AR8160</t>
        </is>
      </c>
      <c r="O181" s="159" t="n">
        <v>8160</v>
      </c>
      <c r="P181" s="187" t="n"/>
      <c r="Q181" s="187" t="n"/>
      <c r="R181" s="187" t="n"/>
      <c r="S181" s="187" t="n"/>
    </row>
    <row r="183" customFormat="1" s="129">
      <c r="A183" s="128" t="n">
        <v>142</v>
      </c>
      <c r="B183" s="128">
        <f>'CTRL F'!B171+1</f>
        <v/>
      </c>
      <c r="C183" s="130" t="inlineStr">
        <is>
          <t>VOLK</t>
        </is>
      </c>
      <c r="D183" s="131" t="inlineStr">
        <is>
          <t>VENTO</t>
        </is>
      </c>
      <c r="E183" s="128" t="n">
        <v>2013</v>
      </c>
      <c r="F183" s="128" t="n"/>
      <c r="G183" s="130" t="inlineStr">
        <is>
          <t>1.6MPI</t>
        </is>
      </c>
      <c r="H183" s="128" t="inlineStr">
        <is>
          <t>P</t>
        </is>
      </c>
      <c r="I183" s="128" t="inlineStr">
        <is>
          <t>M</t>
        </is>
      </c>
      <c r="J183" s="128" t="n">
        <v>3</v>
      </c>
      <c r="K183" s="131" t="n">
        <v>249000</v>
      </c>
      <c r="L183" s="130" t="inlineStr">
        <is>
          <t>WHI</t>
        </is>
      </c>
      <c r="M183" s="128" t="n">
        <v>44</v>
      </c>
      <c r="N183" s="131" t="inlineStr">
        <is>
          <t>MH02CW0448</t>
        </is>
      </c>
      <c r="O183" s="131" t="n">
        <v>448</v>
      </c>
      <c r="P183" s="128" t="n"/>
      <c r="Q183" s="128" t="n"/>
      <c r="R183" s="128" t="n"/>
      <c r="S183" s="128" t="n"/>
      <c r="T183" s="132" t="n"/>
    </row>
    <row r="185">
      <c r="A185" s="48" t="n">
        <v>20</v>
      </c>
    </row>
    <row r="186" ht="10.2" customFormat="1" customHeight="1" s="146">
      <c r="A186" s="258" t="n">
        <v>24</v>
      </c>
      <c r="B186" s="258">
        <f>'CTRL F'!B33+1</f>
        <v/>
      </c>
      <c r="C186" s="125" t="inlineStr">
        <is>
          <t>MAHI</t>
        </is>
      </c>
      <c r="D186" s="124" t="inlineStr">
        <is>
          <t>KUV100</t>
        </is>
      </c>
      <c r="E186" s="258" t="n">
        <v>2016</v>
      </c>
      <c r="F186" s="258" t="n"/>
      <c r="G186" s="125" t="inlineStr">
        <is>
          <t>K6 PLUS</t>
        </is>
      </c>
      <c r="H186" s="258" t="inlineStr">
        <is>
          <t>P</t>
        </is>
      </c>
      <c r="I186" s="258" t="inlineStr">
        <is>
          <t>M</t>
        </is>
      </c>
      <c r="J186" s="258" t="n"/>
      <c r="K186" s="124" t="n">
        <v>188000</v>
      </c>
      <c r="L186" s="125" t="inlineStr">
        <is>
          <t>RED</t>
        </is>
      </c>
      <c r="M186" s="255" t="inlineStr">
        <is>
          <t>DDDD</t>
        </is>
      </c>
      <c r="N186" s="124" t="inlineStr">
        <is>
          <t>MH48AK1159</t>
        </is>
      </c>
      <c r="O186" s="124" t="n">
        <v>1159</v>
      </c>
      <c r="P186" s="258" t="inlineStr">
        <is>
          <t>Z1</t>
        </is>
      </c>
      <c r="Q186" s="258" t="n"/>
      <c r="R186" s="258" t="n"/>
      <c r="S186" s="258" t="n"/>
    </row>
    <row r="187" ht="10.2" customFormat="1" customHeight="1" s="146">
      <c r="A187" s="258" t="n">
        <v>42</v>
      </c>
      <c r="B187" s="258">
        <f>'CTRL F'!B59+1</f>
        <v/>
      </c>
      <c r="C187" s="125" t="inlineStr">
        <is>
          <t>MARU</t>
        </is>
      </c>
      <c r="D187" s="124" t="inlineStr">
        <is>
          <t>ERTIGA</t>
        </is>
      </c>
      <c r="E187" s="258" t="n">
        <v>2019</v>
      </c>
      <c r="F187" s="258" t="n"/>
      <c r="G187" s="125" t="inlineStr">
        <is>
          <t>ZXI AUTO</t>
        </is>
      </c>
      <c r="H187" s="258" t="inlineStr">
        <is>
          <t>PC</t>
        </is>
      </c>
      <c r="I187" s="258" t="inlineStr">
        <is>
          <t>A</t>
        </is>
      </c>
      <c r="J187" s="258" t="n">
        <v>2</v>
      </c>
      <c r="K187" s="124" t="n">
        <v>803500</v>
      </c>
      <c r="L187" s="125" t="inlineStr">
        <is>
          <t>RED</t>
        </is>
      </c>
      <c r="M187" s="255" t="inlineStr">
        <is>
          <t>DDDD</t>
        </is>
      </c>
      <c r="N187" s="124" t="inlineStr">
        <is>
          <t>MH47AG9672</t>
        </is>
      </c>
      <c r="O187" s="124" t="n">
        <v>9672</v>
      </c>
      <c r="P187" s="258" t="inlineStr">
        <is>
          <t>Y3</t>
        </is>
      </c>
      <c r="Q187" s="258" t="n"/>
      <c r="R187" s="258" t="n"/>
      <c r="S187" s="258" t="n"/>
      <c r="T187" s="123" t="n"/>
    </row>
    <row r="188" ht="10.2" customFormat="1" customHeight="1" s="146">
      <c r="A188" s="258" t="n">
        <v>119</v>
      </c>
      <c r="B188" s="258">
        <f>'CTRL F'!B146+1</f>
        <v/>
      </c>
      <c r="C188" s="125" t="inlineStr">
        <is>
          <t>SKODA</t>
        </is>
      </c>
      <c r="D188" s="124" t="inlineStr">
        <is>
          <t>RAPID</t>
        </is>
      </c>
      <c r="E188" s="258" t="n">
        <v>2013</v>
      </c>
      <c r="F188" s="258" t="n"/>
      <c r="G188" s="125" t="inlineStr">
        <is>
          <t>ELEGANCE</t>
        </is>
      </c>
      <c r="H188" s="258" t="inlineStr">
        <is>
          <t>P</t>
        </is>
      </c>
      <c r="I188" s="258" t="inlineStr">
        <is>
          <t>M</t>
        </is>
      </c>
      <c r="J188" s="258" t="n">
        <v>1</v>
      </c>
      <c r="K188" s="124" t="n">
        <v>259000</v>
      </c>
      <c r="L188" s="125" t="inlineStr">
        <is>
          <t>WHI</t>
        </is>
      </c>
      <c r="M188" s="255" t="inlineStr">
        <is>
          <t>DDDD</t>
        </is>
      </c>
      <c r="N188" s="124" t="inlineStr">
        <is>
          <t>MH01BG5603</t>
        </is>
      </c>
      <c r="O188" s="124" t="n">
        <v>5603</v>
      </c>
      <c r="P188" s="258" t="inlineStr">
        <is>
          <t>sold</t>
        </is>
      </c>
      <c r="Q188" s="258" t="n"/>
      <c r="R188" s="258" t="n"/>
      <c r="S188" s="258" t="n"/>
      <c r="T188" s="123" t="n"/>
    </row>
    <row r="189" ht="10.2" customFormat="1" customHeight="1" s="146">
      <c r="A189" s="258" t="n">
        <v>171</v>
      </c>
      <c r="B189" s="258">
        <f>'CTRL F'!#REF!+1</f>
        <v/>
      </c>
      <c r="C189" s="125" t="inlineStr">
        <is>
          <t>MARU</t>
        </is>
      </c>
      <c r="D189" s="124" t="inlineStr">
        <is>
          <t>CELERIO</t>
        </is>
      </c>
      <c r="E189" s="258" t="n">
        <v>2016</v>
      </c>
      <c r="F189" s="258" t="n"/>
      <c r="G189" s="125" t="inlineStr">
        <is>
          <t>ZDI</t>
        </is>
      </c>
      <c r="H189" s="258" t="inlineStr">
        <is>
          <t>D</t>
        </is>
      </c>
      <c r="I189" s="258" t="inlineStr">
        <is>
          <t>M</t>
        </is>
      </c>
      <c r="J189" s="258" t="n">
        <v>2</v>
      </c>
      <c r="K189" s="124" t="n">
        <v>275000</v>
      </c>
      <c r="L189" s="125" t="inlineStr">
        <is>
          <t>WHIT</t>
        </is>
      </c>
      <c r="M189" s="255" t="inlineStr">
        <is>
          <t>DDDD</t>
        </is>
      </c>
      <c r="N189" s="124" t="inlineStr">
        <is>
          <t>MH02EE9357</t>
        </is>
      </c>
      <c r="O189" s="124" t="n">
        <v>9357</v>
      </c>
      <c r="P189" s="258" t="inlineStr">
        <is>
          <t>Y4</t>
        </is>
      </c>
      <c r="Q189" s="258" t="n"/>
      <c r="R189" s="258" t="n"/>
      <c r="S189" s="258" t="n"/>
      <c r="T189" s="123" t="n"/>
    </row>
    <row r="190">
      <c r="A190" s="48" t="n">
        <v>21</v>
      </c>
    </row>
    <row r="191" ht="13.8" customFormat="1" customHeight="1" s="120">
      <c r="A191" s="187" t="n">
        <v>128</v>
      </c>
      <c r="B191" s="187">
        <f>'CTRL F'!B156+1</f>
        <v/>
      </c>
      <c r="C191" s="134" t="inlineStr">
        <is>
          <t>TOYO</t>
        </is>
      </c>
      <c r="D191" s="135" t="inlineStr">
        <is>
          <t>CAMERY</t>
        </is>
      </c>
      <c r="E191" s="161" t="n">
        <v>2012</v>
      </c>
      <c r="F191" s="161" t="n"/>
      <c r="G191" s="134" t="inlineStr">
        <is>
          <t>2.5 AT</t>
        </is>
      </c>
      <c r="H191" s="161" t="inlineStr">
        <is>
          <t>P</t>
        </is>
      </c>
      <c r="I191" s="161" t="inlineStr">
        <is>
          <t>A</t>
        </is>
      </c>
      <c r="J191" s="161" t="n">
        <v>2</v>
      </c>
      <c r="K191" s="135" t="n">
        <v>490000</v>
      </c>
      <c r="L191" s="134" t="inlineStr">
        <is>
          <t>WHI</t>
        </is>
      </c>
      <c r="M191" s="295" t="inlineStr">
        <is>
          <t>DDD</t>
        </is>
      </c>
      <c r="N191" s="135" t="inlineStr">
        <is>
          <t>MH46W1701</t>
        </is>
      </c>
      <c r="O191" s="135" t="n">
        <v>1701</v>
      </c>
      <c r="P191" s="161" t="n"/>
      <c r="Q191" s="161" t="n"/>
      <c r="R191" s="161" t="n"/>
      <c r="S191" s="187" t="n"/>
      <c r="T191" s="187" t="n"/>
      <c r="U191" s="187" t="n"/>
    </row>
    <row r="192">
      <c r="A192" s="48" t="n">
        <v>22</v>
      </c>
    </row>
    <row r="193" ht="13.8" customFormat="1" customHeight="1" s="120">
      <c r="A193" s="187" t="n">
        <v>181</v>
      </c>
      <c r="B193" s="187">
        <f>'DONT TOUCH SOLD'!B195+1</f>
        <v/>
      </c>
      <c r="C193" s="134" t="inlineStr">
        <is>
          <t>VOX</t>
        </is>
      </c>
      <c r="D193" s="159" t="inlineStr">
        <is>
          <t>POLO</t>
        </is>
      </c>
      <c r="E193" s="187" t="n">
        <v>2011</v>
      </c>
      <c r="F193" s="187" t="n"/>
      <c r="G193" s="158" t="inlineStr">
        <is>
          <t>1.2MP</t>
        </is>
      </c>
      <c r="H193" s="187" t="inlineStr">
        <is>
          <t>P</t>
        </is>
      </c>
      <c r="I193" s="187" t="inlineStr">
        <is>
          <t>M</t>
        </is>
      </c>
      <c r="J193" s="187" t="n">
        <v>1</v>
      </c>
      <c r="K193" s="159" t="n">
        <v>189000</v>
      </c>
      <c r="L193" s="158" t="inlineStr">
        <is>
          <t>GREY</t>
        </is>
      </c>
      <c r="M193" s="210" t="inlineStr">
        <is>
          <t>DDD</t>
        </is>
      </c>
      <c r="N193" s="159" t="inlineStr">
        <is>
          <t>MH02BR4659</t>
        </is>
      </c>
      <c r="O193" s="159" t="n">
        <v>4659</v>
      </c>
      <c r="P193" s="187" t="inlineStr">
        <is>
          <t>Z1</t>
        </is>
      </c>
      <c r="Q193" s="187" t="n"/>
      <c r="R193" s="187" t="n"/>
      <c r="S193" s="187" t="n"/>
      <c r="T193" s="187" t="n"/>
      <c r="U193" s="187" t="n"/>
    </row>
    <row r="194">
      <c r="A194" s="48" t="n">
        <v>23</v>
      </c>
    </row>
    <row r="195" ht="10.2" customFormat="1" customHeight="1" s="146">
      <c r="A195" s="258" t="n">
        <v>180</v>
      </c>
      <c r="B195" s="258">
        <f>'CTRL F'!#REF!+1</f>
        <v/>
      </c>
      <c r="C195" s="125" t="inlineStr">
        <is>
          <t>TOYO</t>
        </is>
      </c>
      <c r="D195" s="124" t="inlineStr">
        <is>
          <t xml:space="preserve">ETIOS </t>
        </is>
      </c>
      <c r="E195" s="258" t="n">
        <v>2011</v>
      </c>
      <c r="F195" s="258" t="inlineStr">
        <is>
          <t>AUG</t>
        </is>
      </c>
      <c r="G195" s="125" t="inlineStr">
        <is>
          <t>G BS 4</t>
        </is>
      </c>
      <c r="H195" s="258" t="inlineStr">
        <is>
          <t>CR</t>
        </is>
      </c>
      <c r="I195" s="258" t="inlineStr">
        <is>
          <t>M</t>
        </is>
      </c>
      <c r="J195" s="258" t="n">
        <v>3</v>
      </c>
      <c r="K195" s="124" t="n">
        <v>191000</v>
      </c>
      <c r="L195" s="125" t="inlineStr">
        <is>
          <t>SIL</t>
        </is>
      </c>
      <c r="M195" s="255" t="inlineStr">
        <is>
          <t>DDD</t>
        </is>
      </c>
      <c r="N195" s="124" t="inlineStr">
        <is>
          <t>MH03AZ8378</t>
        </is>
      </c>
      <c r="O195" s="124" t="n">
        <v>8378</v>
      </c>
      <c r="P195" s="258" t="inlineStr">
        <is>
          <t>M2</t>
        </is>
      </c>
      <c r="Q195" s="258" t="n"/>
      <c r="R195" s="258" t="n"/>
      <c r="S195" s="258" t="n"/>
      <c r="T195" s="258" t="n"/>
      <c r="U195" s="258" t="n"/>
    </row>
    <row r="196" ht="10.2" customFormat="1" customHeight="1" s="146">
      <c r="A196" s="258" t="n">
        <v>92</v>
      </c>
      <c r="B196" s="258">
        <f>'CTRL F'!B118+1</f>
        <v/>
      </c>
      <c r="C196" s="121" t="inlineStr">
        <is>
          <t>HYUN</t>
        </is>
      </c>
      <c r="D196" s="122" t="inlineStr">
        <is>
          <t>VERNA</t>
        </is>
      </c>
      <c r="E196" s="261" t="n">
        <v>2014</v>
      </c>
      <c r="F196" s="261" t="n"/>
      <c r="G196" s="121" t="inlineStr">
        <is>
          <t>SXAT</t>
        </is>
      </c>
      <c r="H196" s="261" t="inlineStr">
        <is>
          <t>D</t>
        </is>
      </c>
      <c r="I196" s="261" t="inlineStr">
        <is>
          <t>A</t>
        </is>
      </c>
      <c r="J196" s="261" t="n">
        <v>3</v>
      </c>
      <c r="K196" s="122" t="n">
        <v>354000</v>
      </c>
      <c r="L196" s="121" t="inlineStr">
        <is>
          <t>GREY</t>
        </is>
      </c>
      <c r="M196" s="287" t="inlineStr">
        <is>
          <t>D 365000</t>
        </is>
      </c>
      <c r="N196" s="122" t="inlineStr">
        <is>
          <t>MH02DN2968</t>
        </is>
      </c>
      <c r="O196" s="122" t="n">
        <v>2968</v>
      </c>
      <c r="P196" s="261" t="inlineStr">
        <is>
          <t>SAJD</t>
        </is>
      </c>
      <c r="Q196" s="261" t="n"/>
      <c r="R196" s="261" t="n"/>
      <c r="S196" s="258" t="n"/>
      <c r="T196" s="258" t="n"/>
      <c r="U196" s="258" t="n"/>
    </row>
    <row r="197">
      <c r="A197" s="48" t="n">
        <v>24</v>
      </c>
    </row>
    <row r="198" ht="10.2" customFormat="1" customHeight="1" s="146">
      <c r="A198" s="258" t="n">
        <v>100</v>
      </c>
      <c r="B198" s="258">
        <f>'CTRL F'!B123+1</f>
        <v/>
      </c>
      <c r="C198" s="125" t="inlineStr">
        <is>
          <t>HYUN</t>
        </is>
      </c>
      <c r="D198" s="124" t="inlineStr">
        <is>
          <t>ELENTRA</t>
        </is>
      </c>
      <c r="E198" s="258" t="n">
        <v>2016</v>
      </c>
      <c r="F198" s="258" t="n"/>
      <c r="G198" s="125" t="inlineStr">
        <is>
          <t>VTVT SX</t>
        </is>
      </c>
      <c r="H198" s="258" t="inlineStr">
        <is>
          <t>CP</t>
        </is>
      </c>
      <c r="I198" s="258" t="inlineStr">
        <is>
          <t>M</t>
        </is>
      </c>
      <c r="J198" s="258" t="n">
        <v>2</v>
      </c>
      <c r="K198" s="124" t="n">
        <v>499000</v>
      </c>
      <c r="L198" s="125" t="inlineStr">
        <is>
          <t>WHITE</t>
        </is>
      </c>
      <c r="M198" s="255" t="inlineStr">
        <is>
          <t>DDD</t>
        </is>
      </c>
      <c r="N198" s="124" t="inlineStr">
        <is>
          <t>MH04HM3056</t>
        </is>
      </c>
      <c r="O198" s="124" t="n">
        <v>3056</v>
      </c>
      <c r="P198" s="258" t="n"/>
      <c r="Q198" s="146" t="inlineStr">
        <is>
          <t>DJ</t>
        </is>
      </c>
    </row>
    <row r="200" ht="10.2" customFormat="1" customHeight="1" s="154">
      <c r="A200" s="149" t="n">
        <v>165</v>
      </c>
      <c r="B200" s="149">
        <f>'CTRL F'!B193+1</f>
        <v/>
      </c>
      <c r="C200" s="150" t="inlineStr">
        <is>
          <t>MARU</t>
        </is>
      </c>
      <c r="D200" s="151" t="inlineStr">
        <is>
          <t>ALTO</t>
        </is>
      </c>
      <c r="E200" s="152" t="inlineStr">
        <is>
          <t>2008/28</t>
        </is>
      </c>
      <c r="F200" s="152" t="n"/>
      <c r="G200" s="150" t="inlineStr">
        <is>
          <t>LXI</t>
        </is>
      </c>
      <c r="H200" s="152" t="inlineStr">
        <is>
          <t>P</t>
        </is>
      </c>
      <c r="I200" s="152" t="inlineStr">
        <is>
          <t>M</t>
        </is>
      </c>
      <c r="J200" s="152" t="n">
        <v>2</v>
      </c>
      <c r="K200" s="151" t="n">
        <v>69000</v>
      </c>
      <c r="L200" s="150" t="inlineStr">
        <is>
          <t>SIL</t>
        </is>
      </c>
      <c r="M200" s="152" t="n">
        <v>44</v>
      </c>
      <c r="N200" s="151" t="inlineStr">
        <is>
          <t>MH04DR5978</t>
        </is>
      </c>
      <c r="O200" s="151" t="n">
        <v>5978</v>
      </c>
      <c r="P200" s="152" t="n"/>
      <c r="Q200" s="153" t="n"/>
      <c r="R200" s="153" t="n"/>
    </row>
    <row r="201">
      <c r="A201" s="48" t="n">
        <v>25</v>
      </c>
    </row>
    <row r="202" customFormat="1" s="111">
      <c r="A202" s="110" t="n">
        <v>32</v>
      </c>
      <c r="B202" s="110">
        <f>'CTRL F'!B114+1</f>
        <v/>
      </c>
      <c r="C202" s="155" t="inlineStr">
        <is>
          <t>MAHI</t>
        </is>
      </c>
      <c r="D202" s="156" t="inlineStr">
        <is>
          <t>XUV 500</t>
        </is>
      </c>
      <c r="E202" s="110" t="n">
        <v>2012</v>
      </c>
      <c r="F202" s="110" t="n"/>
      <c r="G202" s="155" t="inlineStr">
        <is>
          <t>W 8</t>
        </is>
      </c>
      <c r="H202" s="110" t="inlineStr">
        <is>
          <t>D</t>
        </is>
      </c>
      <c r="I202" s="110" t="inlineStr">
        <is>
          <t>M</t>
        </is>
      </c>
      <c r="J202" s="110" t="n">
        <v>3</v>
      </c>
      <c r="K202" s="156" t="inlineStr">
        <is>
          <t>DDD</t>
        </is>
      </c>
      <c r="L202" s="157" t="inlineStr">
        <is>
          <t>GREE</t>
        </is>
      </c>
      <c r="M202" s="110" t="inlineStr">
        <is>
          <t>DDD</t>
        </is>
      </c>
      <c r="N202" s="156" t="inlineStr">
        <is>
          <t>MH02CP9250</t>
        </is>
      </c>
      <c r="O202" s="156" t="n">
        <v>9250</v>
      </c>
      <c r="P202" s="110" t="inlineStr">
        <is>
          <t>Z1</t>
        </is>
      </c>
    </row>
    <row r="204" customFormat="1" s="113">
      <c r="A204" s="136" t="n">
        <v>188</v>
      </c>
      <c r="B204" s="136">
        <f>'DONT TOUCH SOLD'!B235+1</f>
        <v/>
      </c>
      <c r="C204" s="112" t="inlineStr">
        <is>
          <t>VOX</t>
        </is>
      </c>
      <c r="D204" s="163" t="inlineStr">
        <is>
          <t>POLO</t>
        </is>
      </c>
      <c r="E204" s="162" t="n">
        <v>2013</v>
      </c>
      <c r="F204" s="162" t="n"/>
      <c r="G204" s="112" t="inlineStr">
        <is>
          <t>COMFORTLINE</t>
        </is>
      </c>
      <c r="H204" s="145" t="inlineStr">
        <is>
          <t>P</t>
        </is>
      </c>
      <c r="I204" s="145" t="inlineStr">
        <is>
          <t>M</t>
        </is>
      </c>
      <c r="J204" s="145" t="n">
        <v>2</v>
      </c>
      <c r="K204" s="163" t="n">
        <v>203500</v>
      </c>
      <c r="L204" s="112" t="inlineStr">
        <is>
          <t>BLU</t>
        </is>
      </c>
      <c r="M204" s="145" t="inlineStr">
        <is>
          <t>DDD</t>
        </is>
      </c>
      <c r="N204" s="163" t="inlineStr">
        <is>
          <t>MH03BC1017</t>
        </is>
      </c>
      <c r="O204" s="163" t="n">
        <v>1017</v>
      </c>
      <c r="P204" s="162" t="n"/>
    </row>
    <row r="205" customFormat="1" s="113">
      <c r="A205" s="136" t="n">
        <v>111</v>
      </c>
      <c r="B205" s="136">
        <f>'CTRL F'!B72+1</f>
        <v/>
      </c>
      <c r="C205" s="112" t="inlineStr">
        <is>
          <t>MARU</t>
        </is>
      </c>
      <c r="D205" s="163" t="inlineStr">
        <is>
          <t>DESIRE</t>
        </is>
      </c>
      <c r="E205" s="162" t="inlineStr">
        <is>
          <t>2008/28</t>
        </is>
      </c>
      <c r="F205" s="162" t="n"/>
      <c r="G205" s="112" t="inlineStr">
        <is>
          <t>LXI BS5</t>
        </is>
      </c>
      <c r="H205" s="145" t="inlineStr">
        <is>
          <t>P</t>
        </is>
      </c>
      <c r="I205" s="145" t="inlineStr">
        <is>
          <t>M</t>
        </is>
      </c>
      <c r="J205" s="145" t="n">
        <v>3</v>
      </c>
      <c r="K205" s="163" t="n">
        <v>125000</v>
      </c>
      <c r="L205" s="112" t="inlineStr">
        <is>
          <t>GOLD</t>
        </is>
      </c>
      <c r="M205" s="145" t="inlineStr">
        <is>
          <t>DDD</t>
        </is>
      </c>
      <c r="N205" s="163" t="inlineStr">
        <is>
          <t>MH05AJ5420</t>
        </is>
      </c>
      <c r="O205" s="163" t="n">
        <v>5420</v>
      </c>
      <c r="P205" s="162" t="n"/>
    </row>
    <row r="206" customFormat="1" s="113">
      <c r="A206" s="136" t="n">
        <v>157</v>
      </c>
      <c r="B206" s="136">
        <f>'CTRL F'!B58+1</f>
        <v/>
      </c>
      <c r="C206" s="137" t="inlineStr">
        <is>
          <t>HYUN</t>
        </is>
      </c>
      <c r="D206" s="138" t="inlineStr">
        <is>
          <t>I 10</t>
        </is>
      </c>
      <c r="E206" s="136" t="n">
        <v>2013</v>
      </c>
      <c r="F206" s="136" t="inlineStr">
        <is>
          <t>JAN</t>
        </is>
      </c>
      <c r="G206" s="137" t="inlineStr">
        <is>
          <t>ERA</t>
        </is>
      </c>
      <c r="H206" s="110" t="inlineStr">
        <is>
          <t>P</t>
        </is>
      </c>
      <c r="I206" s="110" t="inlineStr">
        <is>
          <t>M</t>
        </is>
      </c>
      <c r="J206" s="110" t="n">
        <v>1</v>
      </c>
      <c r="K206" s="138" t="n">
        <v>179000</v>
      </c>
      <c r="L206" s="137" t="inlineStr">
        <is>
          <t>RED</t>
        </is>
      </c>
      <c r="M206" s="110" t="inlineStr">
        <is>
          <t>DDD</t>
        </is>
      </c>
      <c r="N206" s="138" t="inlineStr">
        <is>
          <t>MH04FZ1439</t>
        </is>
      </c>
      <c r="O206" s="138" t="n">
        <v>1439</v>
      </c>
      <c r="P206" s="136" t="n"/>
    </row>
    <row r="207" customFormat="1" s="113">
      <c r="A207" s="136" t="n">
        <v>148</v>
      </c>
      <c r="B207" s="136">
        <f>'DONT TOUCH SOLD'!B209+1</f>
        <v/>
      </c>
      <c r="C207" s="137" t="inlineStr">
        <is>
          <t>VOX</t>
        </is>
      </c>
      <c r="D207" s="138" t="inlineStr">
        <is>
          <t>VENTO</t>
        </is>
      </c>
      <c r="E207" s="136" t="n">
        <v>2015</v>
      </c>
      <c r="F207" s="136" t="n"/>
      <c r="G207" s="137" t="inlineStr">
        <is>
          <t>1.5 TDI</t>
        </is>
      </c>
      <c r="H207" s="110" t="inlineStr">
        <is>
          <t>D</t>
        </is>
      </c>
      <c r="I207" s="110" t="inlineStr">
        <is>
          <t>M</t>
        </is>
      </c>
      <c r="J207" s="110" t="n">
        <v>2</v>
      </c>
      <c r="K207" s="138" t="n">
        <v>399000</v>
      </c>
      <c r="L207" s="137" t="inlineStr">
        <is>
          <t>BLUE</t>
        </is>
      </c>
      <c r="M207" s="110" t="inlineStr">
        <is>
          <t>DDD</t>
        </is>
      </c>
      <c r="N207" s="138" t="inlineStr">
        <is>
          <t>MH01CD0792</t>
        </is>
      </c>
      <c r="O207" s="138" t="n">
        <v>792</v>
      </c>
      <c r="P207" s="136" t="n"/>
    </row>
    <row r="208">
      <c r="G208" s="48" t="inlineStr"/>
    </row>
    <row r="209" customFormat="1" s="113">
      <c r="A209" s="136" t="n">
        <v>7</v>
      </c>
      <c r="B209" s="136">
        <f>'CTRL F'!B112+1</f>
        <v/>
      </c>
      <c r="C209" s="137" t="inlineStr">
        <is>
          <t>FORD</t>
        </is>
      </c>
      <c r="D209" s="138" t="inlineStr">
        <is>
          <t>ENDEAVOUR</t>
        </is>
      </c>
      <c r="E209" s="136" t="inlineStr">
        <is>
          <t>2008/28</t>
        </is>
      </c>
      <c r="F209" s="136" t="inlineStr">
        <is>
          <t>APRIL</t>
        </is>
      </c>
      <c r="G209" s="137" t="inlineStr">
        <is>
          <t>4X2BS</t>
        </is>
      </c>
      <c r="H209" s="136" t="inlineStr">
        <is>
          <t>D</t>
        </is>
      </c>
      <c r="I209" s="136" t="inlineStr">
        <is>
          <t>M</t>
        </is>
      </c>
      <c r="J209" s="136" t="n">
        <v>2</v>
      </c>
      <c r="K209" s="136" t="n">
        <v>200000</v>
      </c>
      <c r="L209" s="137" t="inlineStr">
        <is>
          <t>WHITE</t>
        </is>
      </c>
      <c r="M209" s="136" t="inlineStr">
        <is>
          <t>DDD</t>
        </is>
      </c>
      <c r="N209" s="138" t="inlineStr">
        <is>
          <t>MH04DN4059</t>
        </is>
      </c>
      <c r="O209" s="138" t="n">
        <v>4059</v>
      </c>
      <c r="P209" s="136" t="inlineStr">
        <is>
          <t>SOLD</t>
        </is>
      </c>
    </row>
    <row r="210" customFormat="1" s="113">
      <c r="A210" s="136" t="n">
        <v>4</v>
      </c>
      <c r="B210" s="136">
        <f>'CTRL F'!B146+1</f>
        <v/>
      </c>
      <c r="C210" s="137" t="inlineStr">
        <is>
          <t>AUDI</t>
        </is>
      </c>
      <c r="D210" s="138" t="inlineStr">
        <is>
          <t>A4</t>
        </is>
      </c>
      <c r="E210" s="136" t="n">
        <v>2012</v>
      </c>
      <c r="F210" s="136" t="n"/>
      <c r="G210" s="137" t="inlineStr">
        <is>
          <t>2.0OTDI</t>
        </is>
      </c>
      <c r="H210" s="136" t="inlineStr">
        <is>
          <t>D</t>
        </is>
      </c>
      <c r="I210" s="136" t="inlineStr">
        <is>
          <t>M</t>
        </is>
      </c>
      <c r="J210" s="136" t="n">
        <v>1</v>
      </c>
      <c r="K210" s="138" t="n">
        <v>525000</v>
      </c>
      <c r="L210" s="137" t="inlineStr">
        <is>
          <t>WHI</t>
        </is>
      </c>
      <c r="M210" s="136" t="inlineStr">
        <is>
          <t>DDD</t>
        </is>
      </c>
      <c r="N210" s="138" t="inlineStr">
        <is>
          <t>MH04FF5186</t>
        </is>
      </c>
      <c r="O210" s="138" t="n">
        <v>5186</v>
      </c>
      <c r="P210" s="136" t="inlineStr">
        <is>
          <t>WEST</t>
        </is>
      </c>
    </row>
    <row r="211">
      <c r="A211" s="48" t="n">
        <v>30</v>
      </c>
    </row>
    <row r="212" customFormat="1" s="113">
      <c r="A212" s="136" t="n">
        <v>69</v>
      </c>
      <c r="B212" s="136">
        <f>'CTRL F'!B20+1</f>
        <v/>
      </c>
      <c r="C212" s="137" t="inlineStr">
        <is>
          <t>TOYO</t>
        </is>
      </c>
      <c r="D212" s="138" t="inlineStr">
        <is>
          <t>U-CRUS</t>
        </is>
      </c>
      <c r="E212" s="136" t="n">
        <v>2020</v>
      </c>
      <c r="F212" s="136" t="n"/>
      <c r="G212" s="137" t="inlineStr">
        <is>
          <t xml:space="preserve">PREMIUM </t>
        </is>
      </c>
      <c r="H212" s="136" t="inlineStr">
        <is>
          <t>P</t>
        </is>
      </c>
      <c r="I212" s="136" t="inlineStr">
        <is>
          <t>M</t>
        </is>
      </c>
      <c r="J212" s="136" t="n">
        <v>1</v>
      </c>
      <c r="K212" s="138" t="n">
        <v>689000</v>
      </c>
      <c r="L212" s="137" t="inlineStr">
        <is>
          <t>BLUE</t>
        </is>
      </c>
      <c r="M212" s="136" t="inlineStr">
        <is>
          <t>DDD</t>
        </is>
      </c>
      <c r="N212" s="138" t="inlineStr">
        <is>
          <t>MH03DK5034</t>
        </is>
      </c>
      <c r="O212" s="138" t="n">
        <v>5034</v>
      </c>
      <c r="P212" s="136" t="inlineStr">
        <is>
          <t>N2</t>
        </is>
      </c>
    </row>
    <row r="213" customFormat="1" s="113">
      <c r="A213" s="136" t="n">
        <v>127</v>
      </c>
      <c r="B213" s="136">
        <f>'DONT TOUCH SOLD'!B212+1</f>
        <v/>
      </c>
      <c r="C213" s="137" t="inlineStr">
        <is>
          <t>SKODA</t>
        </is>
      </c>
      <c r="D213" s="138" t="inlineStr">
        <is>
          <t>RAPID</t>
        </is>
      </c>
      <c r="E213" s="136" t="n">
        <v>2016</v>
      </c>
      <c r="F213" s="136" t="n"/>
      <c r="G213" s="137" t="inlineStr">
        <is>
          <t>1.5DI</t>
        </is>
      </c>
      <c r="H213" s="136" t="inlineStr">
        <is>
          <t>D</t>
        </is>
      </c>
      <c r="I213" s="136" t="inlineStr">
        <is>
          <t>A</t>
        </is>
      </c>
      <c r="J213" s="136" t="n">
        <v>3</v>
      </c>
      <c r="K213" s="138" t="n">
        <v>403000</v>
      </c>
      <c r="L213" s="137" t="inlineStr">
        <is>
          <t>STEEL</t>
        </is>
      </c>
      <c r="M213" s="136" t="inlineStr">
        <is>
          <t>DDD</t>
        </is>
      </c>
      <c r="N213" s="138" t="inlineStr">
        <is>
          <t>MH46AU1404</t>
        </is>
      </c>
      <c r="O213" s="138" t="n">
        <v>1404</v>
      </c>
      <c r="P213" s="136" t="inlineStr">
        <is>
          <t>Z1</t>
        </is>
      </c>
    </row>
    <row r="214" customFormat="1" s="113">
      <c r="A214" s="136" t="n">
        <v>159</v>
      </c>
      <c r="B214" s="136">
        <f>'DONT TOUCH SOLD'!B213+1</f>
        <v/>
      </c>
      <c r="C214" s="137" t="inlineStr">
        <is>
          <t>HYUN</t>
        </is>
      </c>
      <c r="D214" s="163" t="inlineStr">
        <is>
          <t>I 10</t>
        </is>
      </c>
      <c r="E214" s="136" t="inlineStr">
        <is>
          <t>2009/29</t>
        </is>
      </c>
      <c r="F214" s="136" t="n"/>
      <c r="G214" s="137" t="inlineStr">
        <is>
          <t>ERA</t>
        </is>
      </c>
      <c r="H214" s="136" t="inlineStr">
        <is>
          <t>P</t>
        </is>
      </c>
      <c r="I214" s="136" t="inlineStr">
        <is>
          <t>M</t>
        </is>
      </c>
      <c r="J214" s="136" t="n">
        <v>2</v>
      </c>
      <c r="K214" s="138" t="n">
        <v>96500</v>
      </c>
      <c r="L214" s="137" t="inlineStr">
        <is>
          <t>BLUE</t>
        </is>
      </c>
      <c r="M214" s="136" t="inlineStr">
        <is>
          <t>DDD</t>
        </is>
      </c>
      <c r="N214" s="138" t="inlineStr">
        <is>
          <t>MH04DY8174</t>
        </is>
      </c>
      <c r="O214" s="138" t="n">
        <v>8174</v>
      </c>
      <c r="P214" s="136" t="inlineStr">
        <is>
          <t>Y5</t>
        </is>
      </c>
    </row>
    <row r="215" ht="13.8" customFormat="1" customHeight="1" s="120">
      <c r="A215" s="194" t="n">
        <v>94</v>
      </c>
      <c r="B215" s="187">
        <f>'CTRL F'!#REF!+1</f>
        <v/>
      </c>
      <c r="C215" s="180" t="inlineStr">
        <is>
          <t>HOND</t>
        </is>
      </c>
      <c r="D215" s="181" t="inlineStr">
        <is>
          <t>CIVIC</t>
        </is>
      </c>
      <c r="E215" s="194" t="inlineStr">
        <is>
          <t>2007/27</t>
        </is>
      </c>
      <c r="F215" s="194" t="n"/>
      <c r="G215" s="180" t="inlineStr">
        <is>
          <t xml:space="preserve">1.8 S AT </t>
        </is>
      </c>
      <c r="H215" s="194" t="inlineStr">
        <is>
          <t>P</t>
        </is>
      </c>
      <c r="I215" s="194" t="inlineStr">
        <is>
          <t>A</t>
        </is>
      </c>
      <c r="J215" s="194" t="n">
        <v>3</v>
      </c>
      <c r="K215" s="181" t="n">
        <v>121500</v>
      </c>
      <c r="L215" s="180" t="inlineStr">
        <is>
          <t>BLUE</t>
        </is>
      </c>
      <c r="M215" s="194" t="inlineStr">
        <is>
          <t>DDD</t>
        </is>
      </c>
      <c r="N215" s="181" t="inlineStr">
        <is>
          <t>MH01AC3652</t>
        </is>
      </c>
      <c r="O215" s="181" t="n">
        <v>3652</v>
      </c>
      <c r="P215" s="194" t="n"/>
    </row>
    <row r="219">
      <c r="A219" s="173" t="n">
        <v>46174</v>
      </c>
    </row>
    <row r="220" customFormat="1" s="113">
      <c r="A220" s="136" t="n">
        <v>28</v>
      </c>
      <c r="B220" s="136">
        <f>'CTRL F'!B37+1</f>
        <v/>
      </c>
      <c r="C220" s="137" t="inlineStr">
        <is>
          <t>MAHI</t>
        </is>
      </c>
      <c r="D220" s="138" t="inlineStr">
        <is>
          <t>KUV100</t>
        </is>
      </c>
      <c r="E220" s="136" t="n">
        <v>2016</v>
      </c>
      <c r="F220" s="136" t="n"/>
      <c r="G220" s="137" t="n"/>
      <c r="H220" s="136" t="inlineStr">
        <is>
          <t>PC</t>
        </is>
      </c>
      <c r="I220" s="136" t="n"/>
      <c r="J220" s="136" t="n">
        <v>1</v>
      </c>
      <c r="K220" s="138" t="n">
        <v>240000</v>
      </c>
      <c r="L220" s="137" t="inlineStr">
        <is>
          <t>RED</t>
        </is>
      </c>
      <c r="M220" s="136" t="inlineStr">
        <is>
          <t>DDD</t>
        </is>
      </c>
      <c r="N220" s="138" t="inlineStr">
        <is>
          <t>MH05CV6738</t>
        </is>
      </c>
      <c r="O220" s="138" t="n">
        <v>6738</v>
      </c>
      <c r="P220" s="136" t="n"/>
    </row>
    <row r="221">
      <c r="A221" s="173" t="n">
        <v>46175</v>
      </c>
    </row>
    <row r="222" ht="13.8" customFormat="1" customHeight="1" s="120">
      <c r="A222" s="187" t="n"/>
      <c r="B222" s="187" t="n"/>
      <c r="C222" s="158" t="inlineStr">
        <is>
          <t>HYUN</t>
        </is>
      </c>
      <c r="D222" s="135" t="inlineStr">
        <is>
          <t>I 10 GRAND</t>
        </is>
      </c>
      <c r="E222" s="161" t="n">
        <v>2013</v>
      </c>
      <c r="F222" s="161" t="n"/>
      <c r="G222" s="134" t="n"/>
      <c r="H222" s="161" t="inlineStr">
        <is>
          <t>C</t>
        </is>
      </c>
      <c r="I222" s="161" t="inlineStr">
        <is>
          <t>M</t>
        </is>
      </c>
      <c r="J222" s="161" t="n">
        <v>3</v>
      </c>
      <c r="K222" s="135" t="n">
        <v>240000</v>
      </c>
      <c r="L222" s="134" t="inlineStr">
        <is>
          <t>WHI</t>
        </is>
      </c>
      <c r="M222" s="161" t="inlineStr">
        <is>
          <t>DDD</t>
        </is>
      </c>
      <c r="N222" s="135" t="inlineStr">
        <is>
          <t>MH02DG3695</t>
        </is>
      </c>
      <c r="O222" s="135" t="n">
        <v>3695</v>
      </c>
      <c r="P222" s="161" t="inlineStr">
        <is>
          <t>P1</t>
        </is>
      </c>
    </row>
    <row r="223" ht="13.8" customFormat="1" customHeight="1" s="120">
      <c r="A223" s="187" t="n"/>
      <c r="B223" s="187" t="n"/>
      <c r="C223" s="158" t="inlineStr">
        <is>
          <t>BMW</t>
        </is>
      </c>
      <c r="D223" s="159" t="inlineStr">
        <is>
          <t>X1</t>
        </is>
      </c>
      <c r="E223" s="187" t="n">
        <v>2014</v>
      </c>
      <c r="F223" s="187" t="inlineStr">
        <is>
          <t>EXP</t>
        </is>
      </c>
      <c r="G223" s="158" t="inlineStr">
        <is>
          <t>SDRIVE 20D</t>
        </is>
      </c>
      <c r="H223" s="187" t="inlineStr">
        <is>
          <t>D</t>
        </is>
      </c>
      <c r="I223" s="187" t="inlineStr">
        <is>
          <t>A</t>
        </is>
      </c>
      <c r="J223" s="187" t="n">
        <v>1</v>
      </c>
      <c r="K223" s="159" t="n">
        <v>599000</v>
      </c>
      <c r="L223" s="158" t="inlineStr">
        <is>
          <t>BLUE</t>
        </is>
      </c>
      <c r="M223" s="187" t="inlineStr">
        <is>
          <t>DDD</t>
        </is>
      </c>
      <c r="N223" s="159" t="inlineStr">
        <is>
          <t>MH02DJ1037</t>
        </is>
      </c>
      <c r="O223" s="159" t="n">
        <v>1037</v>
      </c>
      <c r="P223" s="187" t="inlineStr">
        <is>
          <t>M1</t>
        </is>
      </c>
    </row>
    <row r="224" ht="13.8" customFormat="1" customHeight="1" s="203">
      <c r="A224" s="198" t="n">
        <v>62</v>
      </c>
      <c r="B224" s="199">
        <f>'CTRL F'!B67+1</f>
        <v/>
      </c>
      <c r="C224" s="200" t="inlineStr">
        <is>
          <t>TOYO</t>
        </is>
      </c>
      <c r="D224" s="201" t="inlineStr">
        <is>
          <t>INNOVA</t>
        </is>
      </c>
      <c r="E224" s="202" t="inlineStr">
        <is>
          <t>2007/28</t>
        </is>
      </c>
      <c r="F224" s="202" t="inlineStr">
        <is>
          <t>EXP</t>
        </is>
      </c>
      <c r="G224" s="200" t="inlineStr">
        <is>
          <t>2.5G</t>
        </is>
      </c>
      <c r="H224" s="202" t="inlineStr">
        <is>
          <t>D</t>
        </is>
      </c>
      <c r="I224" s="202" t="inlineStr">
        <is>
          <t>M</t>
        </is>
      </c>
      <c r="J224" s="202" t="n">
        <v>3</v>
      </c>
      <c r="K224" s="201" t="n">
        <v>215000</v>
      </c>
      <c r="L224" s="200" t="inlineStr">
        <is>
          <t>SIL</t>
        </is>
      </c>
      <c r="M224" s="202" t="n">
        <v>4</v>
      </c>
      <c r="N224" s="201" t="inlineStr">
        <is>
          <t>MH06AM4545</t>
        </is>
      </c>
      <c r="O224" s="201" t="n">
        <v>4545</v>
      </c>
      <c r="P224" s="202" t="n"/>
    </row>
    <row r="225">
      <c r="A225" s="173" t="n">
        <v>46183</v>
      </c>
    </row>
    <row r="226" ht="10.2" customFormat="1" customHeight="1" s="146">
      <c r="A226" s="262" t="n">
        <v>17</v>
      </c>
      <c r="B226" s="262">
        <f>'CTRL F'!B8+1</f>
        <v/>
      </c>
      <c r="C226" s="263" t="inlineStr">
        <is>
          <t>HOND</t>
        </is>
      </c>
      <c r="D226" s="264" t="inlineStr">
        <is>
          <t>BRV</t>
        </is>
      </c>
      <c r="E226" s="262" t="n">
        <v>2018</v>
      </c>
      <c r="F226" s="262" t="n"/>
      <c r="G226" s="263" t="n"/>
      <c r="H226" s="262" t="inlineStr">
        <is>
          <t>P</t>
        </is>
      </c>
      <c r="I226" s="262" t="inlineStr">
        <is>
          <t>A</t>
        </is>
      </c>
      <c r="J226" s="262" t="n">
        <v>2</v>
      </c>
      <c r="K226" s="264" t="n">
        <v>599000</v>
      </c>
      <c r="L226" s="263" t="inlineStr">
        <is>
          <t>SILVER</t>
        </is>
      </c>
      <c r="M226" s="262" t="inlineStr">
        <is>
          <t>DDD</t>
        </is>
      </c>
      <c r="N226" s="264" t="inlineStr">
        <is>
          <t>MH47AG3173</t>
        </is>
      </c>
      <c r="O226" s="264" t="n">
        <v>3173</v>
      </c>
      <c r="P226" s="262" t="inlineStr">
        <is>
          <t>ABR</t>
        </is>
      </c>
    </row>
    <row r="227" ht="10.2" customFormat="1" customHeight="1" s="146">
      <c r="A227" s="258" t="n">
        <v>29</v>
      </c>
      <c r="B227" s="258">
        <f>'CTRL F'!B70+1</f>
        <v/>
      </c>
      <c r="C227" s="125" t="inlineStr">
        <is>
          <t>MAHI</t>
        </is>
      </c>
      <c r="D227" s="122" t="inlineStr">
        <is>
          <t>KUV100</t>
        </is>
      </c>
      <c r="E227" s="258" t="n">
        <v>2017</v>
      </c>
      <c r="F227" s="258" t="inlineStr">
        <is>
          <t>APRIL</t>
        </is>
      </c>
      <c r="G227" s="125" t="n"/>
      <c r="H227" s="258" t="inlineStr">
        <is>
          <t>CR</t>
        </is>
      </c>
      <c r="I227" s="258" t="inlineStr">
        <is>
          <t>M</t>
        </is>
      </c>
      <c r="J227" s="258" t="n">
        <v>2</v>
      </c>
      <c r="K227" s="124" t="n">
        <v>241500</v>
      </c>
      <c r="L227" s="125" t="inlineStr">
        <is>
          <t>RED</t>
        </is>
      </c>
      <c r="M227" s="258" t="inlineStr">
        <is>
          <t>DDD</t>
        </is>
      </c>
      <c r="N227" s="124" t="inlineStr">
        <is>
          <t>MH01CP3444</t>
        </is>
      </c>
      <c r="O227" s="124" t="n">
        <v>3444</v>
      </c>
      <c r="P227" s="258" t="inlineStr">
        <is>
          <t>M1</t>
        </is>
      </c>
      <c r="W227" s="146" t="n">
        <v>6000</v>
      </c>
    </row>
    <row r="228" ht="10.2" customFormat="1" customHeight="1" s="146">
      <c r="A228" s="258" t="n">
        <v>112</v>
      </c>
      <c r="B228" s="258">
        <f>'CTRL F'!B123+1</f>
        <v/>
      </c>
      <c r="C228" s="125" t="inlineStr">
        <is>
          <t xml:space="preserve">HYUN </t>
        </is>
      </c>
      <c r="D228" s="124" t="inlineStr">
        <is>
          <t xml:space="preserve">XCENT </t>
        </is>
      </c>
      <c r="E228" s="258" t="n">
        <v>2017</v>
      </c>
      <c r="F228" s="258" t="n"/>
      <c r="G228" s="125" t="n"/>
      <c r="H228" s="258" t="inlineStr">
        <is>
          <t>PC</t>
        </is>
      </c>
      <c r="I228" s="258" t="inlineStr">
        <is>
          <t>M</t>
        </is>
      </c>
      <c r="J228" s="258" t="n">
        <v>2</v>
      </c>
      <c r="K228" s="124" t="n">
        <v>329000</v>
      </c>
      <c r="L228" s="125" t="inlineStr">
        <is>
          <t>WHITE</t>
        </is>
      </c>
      <c r="M228" s="258" t="inlineStr">
        <is>
          <t>DDD</t>
        </is>
      </c>
      <c r="N228" s="124" t="inlineStr">
        <is>
          <t>MH01CP4986</t>
        </is>
      </c>
      <c r="O228" s="124" t="n">
        <v>4986</v>
      </c>
      <c r="P228" s="258" t="inlineStr">
        <is>
          <t>S8</t>
        </is>
      </c>
    </row>
    <row r="229" ht="10.2" customFormat="1" customHeight="1" s="146">
      <c r="A229" s="258" t="n">
        <v>62</v>
      </c>
      <c r="B229" s="258">
        <f>'CTRL F'!B128+1</f>
        <v/>
      </c>
      <c r="C229" s="125" t="inlineStr">
        <is>
          <t>TOYO</t>
        </is>
      </c>
      <c r="D229" s="124" t="inlineStr">
        <is>
          <t>INNOVA</t>
        </is>
      </c>
      <c r="E229" s="258" t="inlineStr">
        <is>
          <t>2008/30</t>
        </is>
      </c>
      <c r="F229" s="258" t="n"/>
      <c r="G229" s="125" t="inlineStr">
        <is>
          <t>2.5 V POWER</t>
        </is>
      </c>
      <c r="H229" s="258" t="inlineStr">
        <is>
          <t>D</t>
        </is>
      </c>
      <c r="I229" s="258" t="inlineStr">
        <is>
          <t>M</t>
        </is>
      </c>
      <c r="J229" s="258" t="n">
        <v>3</v>
      </c>
      <c r="K229" s="124" t="n">
        <v>259000</v>
      </c>
      <c r="L229" s="125" t="n"/>
      <c r="M229" s="258" t="inlineStr">
        <is>
          <t>DDD</t>
        </is>
      </c>
      <c r="N229" s="124" t="inlineStr">
        <is>
          <t>MH43V7168</t>
        </is>
      </c>
      <c r="O229" s="124" t="n">
        <v>7168</v>
      </c>
      <c r="P229" s="258" t="inlineStr">
        <is>
          <t>SOLD</t>
        </is>
      </c>
    </row>
    <row r="230" ht="10.2" customFormat="1" customHeight="1" s="146">
      <c r="A230" s="258" t="n">
        <v>101</v>
      </c>
      <c r="B230" s="258">
        <f>'DONT TOUCH SOLD'!B229+1</f>
        <v/>
      </c>
      <c r="C230" s="121" t="inlineStr">
        <is>
          <t>HOND</t>
        </is>
      </c>
      <c r="D230" s="122" t="inlineStr">
        <is>
          <t>CITY</t>
        </is>
      </c>
      <c r="E230" s="261" t="n">
        <v>2019</v>
      </c>
      <c r="F230" s="261" t="n"/>
      <c r="G230" s="121" t="inlineStr">
        <is>
          <t xml:space="preserve">1.5 ZX </t>
        </is>
      </c>
      <c r="H230" s="261" t="inlineStr">
        <is>
          <t>SP</t>
        </is>
      </c>
      <c r="I230" s="261" t="inlineStr">
        <is>
          <t>M</t>
        </is>
      </c>
      <c r="J230" s="261" t="n">
        <v>1</v>
      </c>
      <c r="K230" s="122" t="n">
        <v>629000</v>
      </c>
      <c r="L230" s="121" t="inlineStr">
        <is>
          <t>RED</t>
        </is>
      </c>
      <c r="M230" s="261" t="inlineStr">
        <is>
          <t>DDD</t>
        </is>
      </c>
      <c r="N230" s="122" t="inlineStr">
        <is>
          <t>MH01DK1124</t>
        </is>
      </c>
      <c r="O230" s="122" t="n">
        <v>1124</v>
      </c>
      <c r="P230" s="261" t="inlineStr">
        <is>
          <t>SOLD</t>
        </is>
      </c>
    </row>
    <row r="231" ht="10.2" customFormat="1" customHeight="1" s="146">
      <c r="A231" s="258" t="n">
        <v>84</v>
      </c>
      <c r="B231" s="258">
        <f>'CTRL F'!B164+1</f>
        <v/>
      </c>
      <c r="C231" s="125" t="inlineStr">
        <is>
          <t>BMW</t>
        </is>
      </c>
      <c r="D231" s="124" t="inlineStr">
        <is>
          <t>X1</t>
        </is>
      </c>
      <c r="E231" s="258" t="n">
        <v>2017</v>
      </c>
      <c r="F231" s="258" t="n"/>
      <c r="G231" s="125" t="inlineStr">
        <is>
          <t>SDRIVE 20D</t>
        </is>
      </c>
      <c r="H231" s="258" t="inlineStr">
        <is>
          <t>D</t>
        </is>
      </c>
      <c r="I231" s="258" t="inlineStr">
        <is>
          <t>A</t>
        </is>
      </c>
      <c r="J231" s="258" t="n">
        <v>2</v>
      </c>
      <c r="K231" s="124" t="n">
        <v>1160000</v>
      </c>
      <c r="L231" s="125" t="inlineStr">
        <is>
          <t>BLUE</t>
        </is>
      </c>
      <c r="M231" s="258" t="inlineStr">
        <is>
          <t>DDD</t>
        </is>
      </c>
      <c r="N231" s="124" t="inlineStr">
        <is>
          <t>MH02EP0968</t>
        </is>
      </c>
      <c r="O231" s="124" t="n">
        <v>968</v>
      </c>
      <c r="P231" s="258" t="inlineStr">
        <is>
          <t>X3</t>
        </is>
      </c>
    </row>
    <row r="232" ht="10.2" customFormat="1" customHeight="1" s="146">
      <c r="A232" s="258" t="n">
        <v>25</v>
      </c>
      <c r="B232" s="258">
        <f>'CTRL F'!B167+1</f>
        <v/>
      </c>
      <c r="C232" s="125" t="inlineStr">
        <is>
          <t>ISUZU</t>
        </is>
      </c>
      <c r="D232" s="124" t="inlineStr">
        <is>
          <t>V CROSS</t>
        </is>
      </c>
      <c r="E232" s="258" t="n">
        <v>2017</v>
      </c>
      <c r="F232" s="258" t="n"/>
      <c r="G232" s="125" t="inlineStr">
        <is>
          <t>V CROSS</t>
        </is>
      </c>
      <c r="H232" s="258" t="inlineStr">
        <is>
          <t>D</t>
        </is>
      </c>
      <c r="I232" s="258" t="inlineStr">
        <is>
          <t>M</t>
        </is>
      </c>
      <c r="J232" s="258" t="n">
        <v>2</v>
      </c>
      <c r="K232" s="124" t="n">
        <v>999000</v>
      </c>
      <c r="L232" s="125" t="inlineStr">
        <is>
          <t>BLACK</t>
        </is>
      </c>
      <c r="M232" s="258" t="inlineStr">
        <is>
          <t>DDD</t>
        </is>
      </c>
      <c r="N232" s="124" t="inlineStr">
        <is>
          <t>MH02EP6356</t>
        </is>
      </c>
      <c r="O232" s="124" t="n">
        <v>6356</v>
      </c>
      <c r="P232" s="258" t="inlineStr">
        <is>
          <t>Y1</t>
        </is>
      </c>
    </row>
    <row r="233" ht="10.2" customFormat="1" customHeight="1" s="146">
      <c r="A233" s="258" t="n">
        <v>165</v>
      </c>
      <c r="B233" s="258">
        <f>'CTRL F'!B173+1</f>
        <v/>
      </c>
      <c r="C233" s="125" t="inlineStr">
        <is>
          <t>HYUN</t>
        </is>
      </c>
      <c r="D233" s="122" t="inlineStr">
        <is>
          <t>I 20</t>
        </is>
      </c>
      <c r="E233" s="261" t="inlineStr">
        <is>
          <t>2011/4</t>
        </is>
      </c>
      <c r="F233" s="248" t="n"/>
      <c r="G233" s="121" t="inlineStr">
        <is>
          <t>ASTA E3</t>
        </is>
      </c>
      <c r="H233" s="261" t="inlineStr">
        <is>
          <t>P</t>
        </is>
      </c>
      <c r="I233" s="261" t="inlineStr">
        <is>
          <t>M</t>
        </is>
      </c>
      <c r="J233" s="261" t="n">
        <v>4</v>
      </c>
      <c r="K233" s="122" t="n">
        <v>164500</v>
      </c>
      <c r="L233" s="121" t="inlineStr">
        <is>
          <t>WHI</t>
        </is>
      </c>
      <c r="M233" s="261" t="inlineStr">
        <is>
          <t>DDD</t>
        </is>
      </c>
      <c r="N233" s="122" t="inlineStr">
        <is>
          <t>MH03AZ4651</t>
        </is>
      </c>
      <c r="O233" s="122" t="n">
        <v>4651</v>
      </c>
      <c r="P233" s="261" t="inlineStr">
        <is>
          <t>Y2</t>
        </is>
      </c>
    </row>
    <row r="234" ht="10.2" customFormat="1" customHeight="1" s="146">
      <c r="A234" s="258" t="n">
        <v>179</v>
      </c>
      <c r="B234" s="258">
        <f>'CTRL F'!B193+1</f>
        <v/>
      </c>
      <c r="C234" s="121" t="inlineStr">
        <is>
          <t>MARU</t>
        </is>
      </c>
      <c r="D234" s="124" t="inlineStr">
        <is>
          <t>CELERIO</t>
        </is>
      </c>
      <c r="E234" s="261" t="n">
        <v>2018</v>
      </c>
      <c r="F234" s="261" t="n"/>
      <c r="G234" s="121" t="inlineStr">
        <is>
          <t>ZXI (O)</t>
        </is>
      </c>
      <c r="H234" s="261" t="inlineStr">
        <is>
          <t>P</t>
        </is>
      </c>
      <c r="I234" s="261" t="inlineStr">
        <is>
          <t>M</t>
        </is>
      </c>
      <c r="J234" s="261" t="n">
        <v>2</v>
      </c>
      <c r="K234" s="122" t="n">
        <v>334000</v>
      </c>
      <c r="L234" s="121" t="inlineStr">
        <is>
          <t>GREY</t>
        </is>
      </c>
      <c r="M234" s="261" t="inlineStr">
        <is>
          <t>DDD</t>
        </is>
      </c>
      <c r="N234" s="122" t="inlineStr">
        <is>
          <t>MH04JM7674</t>
        </is>
      </c>
      <c r="O234" s="122" t="n">
        <v>7674</v>
      </c>
      <c r="P234" s="261" t="inlineStr">
        <is>
          <t>Y5</t>
        </is>
      </c>
    </row>
    <row r="235" ht="10.2" customFormat="1" customHeight="1" s="146">
      <c r="A235" s="258" t="n">
        <v>102</v>
      </c>
      <c r="B235" s="258">
        <f>'CTRL F'!#REF!+1</f>
        <v/>
      </c>
      <c r="C235" s="121" t="inlineStr">
        <is>
          <t>HYUN</t>
        </is>
      </c>
      <c r="D235" s="122" t="inlineStr">
        <is>
          <t>VERNA</t>
        </is>
      </c>
      <c r="E235" s="261" t="n">
        <v>2012</v>
      </c>
      <c r="F235" s="261" t="n"/>
      <c r="G235" s="121" t="n"/>
      <c r="H235" s="261" t="inlineStr">
        <is>
          <t>D</t>
        </is>
      </c>
      <c r="I235" s="261" t="inlineStr">
        <is>
          <t>M</t>
        </is>
      </c>
      <c r="J235" s="261" t="n">
        <v>2</v>
      </c>
      <c r="K235" s="122" t="n">
        <v>251000</v>
      </c>
      <c r="L235" s="121" t="inlineStr">
        <is>
          <t>WHI</t>
        </is>
      </c>
      <c r="M235" s="261" t="inlineStr">
        <is>
          <t>DDD</t>
        </is>
      </c>
      <c r="N235" s="122" t="inlineStr">
        <is>
          <t>MH48P0857</t>
        </is>
      </c>
      <c r="O235" s="122" t="n">
        <v>857</v>
      </c>
      <c r="P235" s="261" t="inlineStr">
        <is>
          <t>Z2</t>
        </is>
      </c>
    </row>
    <row r="236" ht="10.2" customFormat="1" customHeight="1" s="146">
      <c r="A236" s="258" t="n">
        <v>75</v>
      </c>
      <c r="B236" s="258">
        <f>'CTRL F'!#REF!+1</f>
        <v/>
      </c>
      <c r="C236" s="125" t="inlineStr">
        <is>
          <t>MERC</t>
        </is>
      </c>
      <c r="D236" s="124" t="inlineStr">
        <is>
          <t>E CLASS</t>
        </is>
      </c>
      <c r="E236" s="258" t="n">
        <v>2015</v>
      </c>
      <c r="F236" s="258" t="n"/>
      <c r="G236" s="125" t="inlineStr">
        <is>
          <t>250 CDI</t>
        </is>
      </c>
      <c r="H236" s="258" t="inlineStr">
        <is>
          <t>D</t>
        </is>
      </c>
      <c r="I236" s="258" t="inlineStr">
        <is>
          <t>A</t>
        </is>
      </c>
      <c r="J236" s="258" t="n">
        <v>2</v>
      </c>
      <c r="K236" s="124" t="n">
        <v>995000</v>
      </c>
      <c r="L236" s="125" t="inlineStr">
        <is>
          <t>BRO</t>
        </is>
      </c>
      <c r="M236" s="258" t="inlineStr">
        <is>
          <t>DDD</t>
        </is>
      </c>
      <c r="N236" s="124" t="inlineStr">
        <is>
          <t>MH03BW2220</t>
        </is>
      </c>
      <c r="O236" s="124" t="n">
        <v>2220</v>
      </c>
      <c r="P236" s="258" t="n"/>
    </row>
    <row r="237">
      <c r="A237" s="173" t="n">
        <v>46183</v>
      </c>
    </row>
  </sheetData>
  <mergeCells count="104">
    <mergeCell ref="A15:B15"/>
    <mergeCell ref="A64:B64"/>
    <mergeCell ref="A98:B98"/>
    <mergeCell ref="A73:B73"/>
    <mergeCell ref="A107:B107"/>
    <mergeCell ref="A88:B88"/>
    <mergeCell ref="A70:B70"/>
    <mergeCell ref="A54:B54"/>
    <mergeCell ref="A90:B90"/>
    <mergeCell ref="A99:B99"/>
    <mergeCell ref="A74:B74"/>
    <mergeCell ref="A56:B56"/>
    <mergeCell ref="A101:B101"/>
    <mergeCell ref="A76:B76"/>
    <mergeCell ref="A33:B33"/>
    <mergeCell ref="A85:B85"/>
    <mergeCell ref="A17:B17"/>
    <mergeCell ref="A126:B126"/>
    <mergeCell ref="A140:B140"/>
    <mergeCell ref="A53:B53"/>
    <mergeCell ref="A109:B109"/>
    <mergeCell ref="A62:B62"/>
    <mergeCell ref="A19:B19"/>
    <mergeCell ref="A68:B68"/>
    <mergeCell ref="A117:B117"/>
    <mergeCell ref="A111:B111"/>
    <mergeCell ref="A9:B9"/>
    <mergeCell ref="B35:C35"/>
    <mergeCell ref="A30:B30"/>
    <mergeCell ref="A59:B59"/>
    <mergeCell ref="A142:B142"/>
    <mergeCell ref="A11:B11"/>
    <mergeCell ref="A103:B103"/>
    <mergeCell ref="A79:B79"/>
    <mergeCell ref="A61:B61"/>
    <mergeCell ref="A87:B87"/>
    <mergeCell ref="A128:B128"/>
    <mergeCell ref="A137:B137"/>
    <mergeCell ref="A89:B89"/>
    <mergeCell ref="A136:B136"/>
    <mergeCell ref="A105:B105"/>
    <mergeCell ref="A129:B129"/>
    <mergeCell ref="A71:B71"/>
    <mergeCell ref="A116:B116"/>
    <mergeCell ref="A91:B91"/>
    <mergeCell ref="A100:B100"/>
    <mergeCell ref="A63:B63"/>
    <mergeCell ref="A10:B10"/>
    <mergeCell ref="A115:B115"/>
    <mergeCell ref="A93:B93"/>
    <mergeCell ref="A102:B102"/>
    <mergeCell ref="A77:B77"/>
    <mergeCell ref="A83:B83"/>
    <mergeCell ref="A34:B34"/>
    <mergeCell ref="A143:B143"/>
    <mergeCell ref="A92:B92"/>
    <mergeCell ref="A49:B49"/>
    <mergeCell ref="A119:B119"/>
    <mergeCell ref="A94:B94"/>
    <mergeCell ref="A69:B69"/>
    <mergeCell ref="A78:B78"/>
    <mergeCell ref="A65:B65"/>
    <mergeCell ref="A133:B133"/>
    <mergeCell ref="A75:B75"/>
    <mergeCell ref="A80:B80"/>
    <mergeCell ref="A120:B120"/>
    <mergeCell ref="A55:B55"/>
    <mergeCell ref="A12:B12"/>
    <mergeCell ref="A104:B104"/>
    <mergeCell ref="A57:B57"/>
    <mergeCell ref="A113:B113"/>
    <mergeCell ref="A32:B32"/>
    <mergeCell ref="A14:B14"/>
    <mergeCell ref="A106:B106"/>
    <mergeCell ref="A96:B96"/>
    <mergeCell ref="A147:B147"/>
    <mergeCell ref="B20:C20"/>
    <mergeCell ref="A67:B67"/>
    <mergeCell ref="A130:B130"/>
    <mergeCell ref="A148:B148"/>
    <mergeCell ref="A82:B82"/>
    <mergeCell ref="A60:B60"/>
    <mergeCell ref="A132:B132"/>
    <mergeCell ref="A110:B110"/>
    <mergeCell ref="A16:B16"/>
    <mergeCell ref="A108:B108"/>
    <mergeCell ref="A84:B84"/>
    <mergeCell ref="A66:B66"/>
    <mergeCell ref="A118:B118"/>
    <mergeCell ref="A149:B149"/>
    <mergeCell ref="A18:B18"/>
    <mergeCell ref="A86:B86"/>
    <mergeCell ref="A95:B95"/>
    <mergeCell ref="A135:B135"/>
    <mergeCell ref="A144:B144"/>
    <mergeCell ref="A122:B122"/>
    <mergeCell ref="A97:B97"/>
    <mergeCell ref="A72:B72"/>
    <mergeCell ref="A81:B81"/>
    <mergeCell ref="A121:B121"/>
    <mergeCell ref="A13:B13"/>
    <mergeCell ref="A31:B31"/>
    <mergeCell ref="A58:B58"/>
    <mergeCell ref="A114:B114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60"/>
  <sheetViews>
    <sheetView zoomScale="150" zoomScaleNormal="150" workbookViewId="0">
      <selection activeCell="E15" sqref="E15"/>
    </sheetView>
  </sheetViews>
  <sheetFormatPr baseColWidth="8" defaultColWidth="10" defaultRowHeight="10.2"/>
  <cols>
    <col width="4.109375" bestFit="1" customWidth="1" style="146" min="1" max="1"/>
    <col width="3" bestFit="1" customWidth="1" style="146" min="2" max="2"/>
    <col width="6.44140625" customWidth="1" style="252" min="3" max="3"/>
    <col width="8.77734375" customWidth="1" style="207" min="4" max="4"/>
    <col width="9.21875" customWidth="1" style="146" min="5" max="5"/>
    <col width="1" customWidth="1" style="146" min="6" max="6"/>
    <col width="7.33203125" customWidth="1" style="252" min="7" max="7"/>
    <col width="4.109375" customWidth="1" style="204" min="8" max="10"/>
    <col width="7.33203125" bestFit="1" customWidth="1" style="207" min="11" max="11"/>
    <col width="4.33203125" customWidth="1" style="252" min="12" max="12"/>
    <col width="9.21875" bestFit="1" customWidth="1" style="204" min="13" max="13"/>
    <col width="13.77734375" bestFit="1" customWidth="1" style="207" min="14" max="14"/>
    <col width="5.21875" bestFit="1" customWidth="1" style="208" min="15" max="15"/>
    <col width="4.6640625" bestFit="1" customWidth="1" style="146" min="16" max="16"/>
    <col width="0.5546875" customWidth="1" style="146" min="17" max="22"/>
    <col width="10" customWidth="1" style="146" min="23" max="23"/>
    <col width="10" customWidth="1" style="146" min="24" max="16384"/>
  </cols>
  <sheetData>
    <row r="1" ht="21" customFormat="1" customHeight="1" s="204">
      <c r="A1" s="314" t="n"/>
      <c r="B1" s="305" t="n"/>
      <c r="C1" s="305" t="n"/>
      <c r="D1" s="306" t="n"/>
      <c r="E1" s="301" t="n"/>
      <c r="F1" s="302" t="n"/>
      <c r="G1" s="302" t="n"/>
      <c r="H1" s="302" t="n"/>
      <c r="I1" s="303" t="n"/>
      <c r="J1" s="287" t="n"/>
      <c r="K1" s="288" t="n"/>
      <c r="L1" s="247" t="n"/>
      <c r="M1" s="287" t="n"/>
      <c r="N1" s="301" t="n"/>
      <c r="O1" s="303" t="n"/>
      <c r="P1" s="287" t="n"/>
    </row>
    <row r="2" ht="21" customFormat="1" customHeight="1" s="204">
      <c r="A2" s="307" t="n"/>
      <c r="B2" s="308" t="n"/>
      <c r="C2" s="308" t="n"/>
      <c r="D2" s="309" t="n"/>
      <c r="E2" s="301" t="n"/>
      <c r="F2" s="287" t="n"/>
      <c r="G2" s="247" t="n"/>
      <c r="H2" s="287" t="n"/>
      <c r="I2" s="287" t="n"/>
      <c r="J2" s="287" t="n"/>
      <c r="K2" s="288" t="n"/>
      <c r="L2" s="247" t="n"/>
      <c r="M2" s="287" t="n"/>
      <c r="N2" s="288" t="n"/>
      <c r="O2" s="288" t="n"/>
      <c r="P2" s="287" t="n"/>
    </row>
    <row r="3">
      <c r="A3" s="261" t="n"/>
      <c r="B3" s="261" t="n"/>
      <c r="C3" s="121" t="n"/>
      <c r="D3" s="288" t="n"/>
      <c r="E3" s="261" t="n"/>
      <c r="F3" s="261" t="n"/>
      <c r="G3" s="121" t="n"/>
      <c r="H3" s="287" t="n"/>
      <c r="I3" s="287" t="n"/>
      <c r="J3" s="287" t="n"/>
      <c r="K3" s="122" t="n"/>
      <c r="L3" s="121" t="n"/>
      <c r="M3" s="287" t="n"/>
      <c r="N3" s="122" t="n"/>
      <c r="O3" s="122" t="n"/>
      <c r="P3" s="261" t="n"/>
    </row>
    <row r="4">
      <c r="A4" s="251" t="n"/>
      <c r="B4" s="251" t="n"/>
      <c r="C4" s="164" t="n"/>
      <c r="D4" s="165" t="n"/>
      <c r="E4" s="251" t="n"/>
      <c r="F4" s="251" t="n"/>
      <c r="G4" s="164" t="n"/>
      <c r="H4" s="174" t="n"/>
      <c r="I4" s="174" t="n"/>
      <c r="J4" s="174" t="n"/>
      <c r="K4" s="165" t="n"/>
      <c r="L4" s="164" t="n"/>
      <c r="M4" s="174" t="n"/>
      <c r="N4" s="165" t="n"/>
      <c r="O4" s="165" t="n"/>
      <c r="P4" s="251" t="n"/>
    </row>
    <row r="5">
      <c r="A5" s="258" t="n"/>
      <c r="B5" s="258" t="n"/>
      <c r="C5" s="121" t="n"/>
      <c r="D5" s="122" t="n"/>
      <c r="E5" s="261" t="n"/>
      <c r="F5" s="261" t="n"/>
      <c r="G5" s="121" t="n"/>
      <c r="H5" s="287" t="n"/>
      <c r="I5" s="287" t="n"/>
      <c r="J5" s="287" t="n"/>
      <c r="K5" s="122" t="n"/>
      <c r="L5" s="121" t="n"/>
      <c r="M5" s="287" t="n"/>
      <c r="N5" s="122" t="n"/>
      <c r="O5" s="122" t="n"/>
      <c r="P5" s="261" t="n"/>
    </row>
    <row r="6">
      <c r="A6" s="258" t="n"/>
      <c r="B6" s="258" t="n"/>
      <c r="C6" s="125" t="n"/>
      <c r="D6" s="124" t="n"/>
      <c r="E6" s="258" t="n"/>
      <c r="F6" s="258" t="n"/>
      <c r="G6" s="125" t="n"/>
      <c r="H6" s="255" t="n"/>
      <c r="I6" s="255" t="n"/>
      <c r="J6" s="255" t="n"/>
      <c r="K6" s="124" t="n"/>
      <c r="L6" s="125" t="n"/>
      <c r="M6" s="255" t="n"/>
      <c r="N6" s="124" t="n"/>
      <c r="O6" s="124" t="n"/>
      <c r="P6" s="258" t="n"/>
    </row>
    <row r="7">
      <c r="A7" s="262" t="n"/>
      <c r="B7" s="262" t="n"/>
      <c r="C7" s="263" t="n"/>
      <c r="D7" s="264" t="n"/>
      <c r="E7" s="262" t="n"/>
      <c r="F7" s="262" t="n"/>
      <c r="G7" s="263" t="n"/>
      <c r="H7" s="175" t="n"/>
      <c r="I7" s="175" t="n"/>
      <c r="J7" s="175" t="n"/>
      <c r="K7" s="264" t="n"/>
      <c r="L7" s="263" t="n"/>
      <c r="M7" s="175" t="n"/>
      <c r="N7" s="264" t="n"/>
      <c r="O7" s="264" t="n"/>
      <c r="P7" s="262" t="n"/>
    </row>
    <row r="8">
      <c r="A8" s="258" t="n"/>
      <c r="B8" s="258" t="n"/>
      <c r="C8" s="125" t="n"/>
      <c r="D8" s="124" t="n"/>
      <c r="E8" s="258" t="n"/>
      <c r="F8" s="258" t="n"/>
      <c r="G8" s="125" t="n"/>
      <c r="H8" s="255" t="n"/>
      <c r="I8" s="255" t="n"/>
      <c r="J8" s="255" t="n"/>
      <c r="K8" s="124" t="n"/>
      <c r="L8" s="125" t="n"/>
      <c r="M8" s="255" t="n"/>
      <c r="N8" s="124" t="n"/>
      <c r="O8" s="124" t="n"/>
      <c r="P8" s="258" t="n"/>
    </row>
    <row r="9">
      <c r="A9" s="262" t="n"/>
      <c r="B9" s="262" t="n"/>
      <c r="C9" s="263" t="n"/>
      <c r="D9" s="264" t="n"/>
      <c r="E9" s="262" t="n"/>
      <c r="F9" s="262" t="n"/>
      <c r="G9" s="263" t="n"/>
      <c r="H9" s="175" t="n"/>
      <c r="I9" s="175" t="n"/>
      <c r="J9" s="175" t="n"/>
      <c r="K9" s="264" t="n"/>
      <c r="L9" s="263" t="n"/>
      <c r="M9" s="175" t="n"/>
      <c r="N9" s="264" t="n"/>
      <c r="O9" s="264" t="n"/>
      <c r="P9" s="262" t="n"/>
    </row>
    <row r="10">
      <c r="A10" s="258" t="n"/>
      <c r="B10" s="258" t="n"/>
      <c r="C10" s="125" t="n"/>
      <c r="D10" s="124" t="n"/>
      <c r="E10" s="258" t="n"/>
      <c r="F10" s="258" t="n"/>
      <c r="G10" s="125" t="n"/>
      <c r="H10" s="255" t="n"/>
      <c r="I10" s="255" t="n"/>
      <c r="J10" s="255" t="n"/>
      <c r="K10" s="124" t="n"/>
      <c r="L10" s="125" t="n"/>
      <c r="M10" s="255" t="n"/>
      <c r="N10" s="124" t="n"/>
      <c r="O10" s="124" t="n"/>
      <c r="P10" s="258" t="n"/>
    </row>
    <row r="11">
      <c r="A11" s="258" t="n"/>
      <c r="B11" s="258" t="n"/>
      <c r="C11" s="125" t="n"/>
      <c r="D11" s="124" t="n"/>
      <c r="E11" s="258" t="n"/>
      <c r="F11" s="258" t="n"/>
      <c r="G11" s="125" t="n"/>
      <c r="H11" s="255" t="n"/>
      <c r="I11" s="255" t="n"/>
      <c r="J11" s="255" t="n"/>
      <c r="K11" s="124" t="n"/>
      <c r="L11" s="125" t="n"/>
      <c r="M11" s="255" t="n"/>
      <c r="N11" s="124" t="n"/>
      <c r="O11" s="124" t="n"/>
      <c r="P11" s="258" t="n"/>
    </row>
    <row r="12">
      <c r="A12" s="251" t="n"/>
      <c r="B12" s="262" t="n"/>
      <c r="C12" s="164" t="n"/>
      <c r="D12" s="165" t="n"/>
      <c r="E12" s="251" t="n"/>
      <c r="F12" s="251" t="n"/>
      <c r="G12" s="164" t="n"/>
      <c r="H12" s="174" t="n"/>
      <c r="I12" s="174" t="n"/>
      <c r="J12" s="174" t="n"/>
      <c r="K12" s="165" t="n"/>
      <c r="L12" s="164" t="n"/>
      <c r="M12" s="174" t="n"/>
      <c r="N12" s="165" t="n"/>
      <c r="O12" s="165" t="n"/>
      <c r="P12" s="251" t="n"/>
    </row>
    <row r="13">
      <c r="A13" s="258" t="n"/>
      <c r="B13" s="258" t="n"/>
      <c r="C13" s="125" t="n"/>
      <c r="D13" s="124" t="n"/>
      <c r="E13" s="258" t="n"/>
      <c r="F13" s="258" t="n"/>
      <c r="G13" s="125" t="n"/>
      <c r="H13" s="255" t="n"/>
      <c r="I13" s="255" t="n"/>
      <c r="J13" s="255" t="n"/>
      <c r="K13" s="124" t="n"/>
      <c r="L13" s="125" t="n"/>
      <c r="M13" s="255" t="n"/>
      <c r="N13" s="124" t="n"/>
      <c r="O13" s="124" t="n"/>
      <c r="P13" s="258" t="n"/>
    </row>
    <row r="14">
      <c r="A14" s="258" t="n"/>
      <c r="B14" s="258" t="n"/>
      <c r="C14" s="125" t="n"/>
      <c r="D14" s="124" t="n"/>
      <c r="E14" s="258" t="n"/>
      <c r="F14" s="258" t="n"/>
      <c r="G14" s="125" t="n"/>
      <c r="H14" s="255" t="n"/>
      <c r="I14" s="255" t="n"/>
      <c r="J14" s="255" t="n"/>
      <c r="K14" s="124" t="n"/>
      <c r="L14" s="125" t="n"/>
      <c r="M14" s="255" t="n"/>
      <c r="N14" s="124" t="n"/>
      <c r="O14" s="124" t="n"/>
      <c r="P14" s="258" t="n"/>
    </row>
    <row r="15">
      <c r="A15" s="262" t="n"/>
      <c r="B15" s="262" t="n"/>
      <c r="C15" s="263" t="n"/>
      <c r="D15" s="264" t="n"/>
      <c r="E15" s="262" t="n"/>
      <c r="F15" s="262" t="n"/>
      <c r="G15" s="263" t="n"/>
      <c r="H15" s="175" t="n"/>
      <c r="I15" s="175" t="n"/>
      <c r="J15" s="175" t="n"/>
      <c r="K15" s="264" t="n"/>
      <c r="L15" s="263" t="n"/>
      <c r="M15" s="175" t="n"/>
      <c r="N15" s="264" t="n"/>
      <c r="O15" s="264" t="n"/>
      <c r="P15" s="262" t="n"/>
    </row>
    <row r="16">
      <c r="A16" s="258" t="n"/>
      <c r="B16" s="258" t="n"/>
      <c r="C16" s="125" t="n"/>
      <c r="D16" s="124" t="n"/>
      <c r="E16" s="258" t="n"/>
      <c r="F16" s="258" t="n"/>
      <c r="G16" s="125" t="n"/>
      <c r="H16" s="255" t="n"/>
      <c r="I16" s="255" t="n"/>
      <c r="J16" s="255" t="n"/>
      <c r="K16" s="124" t="n"/>
      <c r="L16" s="125" t="n"/>
      <c r="M16" s="255" t="n"/>
      <c r="N16" s="124" t="n"/>
      <c r="O16" s="124" t="n"/>
      <c r="P16" s="258" t="n"/>
    </row>
    <row r="17">
      <c r="A17" s="258" t="n"/>
      <c r="B17" s="258" t="n"/>
      <c r="C17" s="121" t="n"/>
      <c r="D17" s="122" t="n"/>
      <c r="E17" s="261" t="n"/>
      <c r="F17" s="261" t="n"/>
      <c r="G17" s="121" t="n"/>
      <c r="H17" s="287" t="n"/>
      <c r="I17" s="287" t="n"/>
      <c r="J17" s="287" t="n"/>
      <c r="K17" s="122" t="n"/>
      <c r="L17" s="121" t="n"/>
      <c r="M17" s="287" t="n"/>
      <c r="N17" s="122" t="n"/>
      <c r="O17" s="122" t="n"/>
      <c r="P17" s="261" t="n"/>
    </row>
    <row r="18">
      <c r="A18" s="258" t="n"/>
      <c r="B18" s="258" t="n"/>
      <c r="C18" s="125" t="n"/>
      <c r="D18" s="122" t="n"/>
      <c r="E18" s="261" t="n"/>
      <c r="F18" s="261" t="n"/>
      <c r="G18" s="121" t="n"/>
      <c r="H18" s="287" t="n"/>
      <c r="I18" s="287" t="n"/>
      <c r="J18" s="287" t="n"/>
      <c r="K18" s="122" t="n"/>
      <c r="L18" s="121" t="n"/>
      <c r="M18" s="287" t="n"/>
      <c r="N18" s="122" t="n"/>
      <c r="O18" s="122" t="n"/>
      <c r="P18" s="261" t="n"/>
    </row>
    <row r="19">
      <c r="A19" s="258" t="n"/>
      <c r="B19" s="258" t="n"/>
      <c r="C19" s="125" t="n"/>
      <c r="D19" s="124" t="n"/>
      <c r="E19" s="258" t="n"/>
      <c r="F19" s="258" t="n"/>
      <c r="G19" s="125" t="n"/>
      <c r="H19" s="255" t="n"/>
      <c r="I19" s="255" t="n"/>
      <c r="J19" s="255" t="n"/>
      <c r="K19" s="124" t="n"/>
      <c r="L19" s="125" t="n"/>
      <c r="M19" s="255" t="n"/>
      <c r="N19" s="124" t="n"/>
      <c r="O19" s="124" t="n"/>
      <c r="P19" s="258" t="n"/>
    </row>
    <row r="20">
      <c r="A20" s="258" t="n"/>
      <c r="B20" s="258" t="n"/>
      <c r="C20" s="125" t="n"/>
      <c r="D20" s="124" t="n"/>
      <c r="E20" s="258" t="n"/>
      <c r="F20" s="258" t="n"/>
      <c r="G20" s="125" t="n"/>
      <c r="H20" s="255" t="n"/>
      <c r="I20" s="255" t="n"/>
      <c r="J20" s="255" t="n"/>
      <c r="K20" s="124" t="n"/>
      <c r="L20" s="125" t="n"/>
      <c r="M20" s="255" t="n"/>
      <c r="N20" s="124" t="n"/>
      <c r="O20" s="124" t="n"/>
      <c r="P20" s="258" t="n"/>
    </row>
    <row r="21">
      <c r="A21" s="251" t="n"/>
      <c r="B21" s="258" t="n"/>
      <c r="C21" s="164" t="n"/>
      <c r="D21" s="165" t="n"/>
      <c r="E21" s="251" t="n"/>
      <c r="F21" s="251" t="n"/>
      <c r="G21" s="164" t="n"/>
      <c r="H21" s="174" t="n"/>
      <c r="I21" s="174" t="n"/>
      <c r="J21" s="174" t="n"/>
      <c r="K21" s="165" t="n"/>
      <c r="L21" s="164" t="n"/>
      <c r="M21" s="174" t="n"/>
      <c r="N21" s="165" t="n"/>
      <c r="O21" s="165" t="n"/>
      <c r="P21" s="251" t="n"/>
    </row>
    <row r="22">
      <c r="A22" s="258" t="n"/>
      <c r="B22" s="258" t="n"/>
      <c r="C22" s="121" t="n"/>
      <c r="D22" s="122" t="n"/>
      <c r="E22" s="261" t="n"/>
      <c r="F22" s="261" t="n"/>
      <c r="G22" s="121" t="n"/>
      <c r="H22" s="287" t="n"/>
      <c r="I22" s="287" t="n"/>
      <c r="J22" s="287" t="n"/>
      <c r="K22" s="122" t="n"/>
      <c r="L22" s="121" t="n"/>
      <c r="M22" s="287" t="n"/>
      <c r="N22" s="122" t="n"/>
      <c r="O22" s="122" t="n"/>
      <c r="P22" s="261" t="n"/>
    </row>
    <row r="23">
      <c r="A23" s="258" t="n"/>
      <c r="B23" s="258" t="n"/>
      <c r="C23" s="125" t="n"/>
      <c r="D23" s="125" t="n"/>
      <c r="E23" s="258" t="n"/>
      <c r="F23" s="258" t="n"/>
      <c r="G23" s="125" t="n"/>
      <c r="H23" s="255" t="n"/>
      <c r="I23" s="255" t="n"/>
      <c r="J23" s="255" t="n"/>
      <c r="K23" s="124" t="n"/>
      <c r="L23" s="125" t="n"/>
      <c r="M23" s="255" t="n"/>
      <c r="N23" s="124" t="n"/>
      <c r="O23" s="124" t="n"/>
      <c r="P23" s="258" t="n"/>
    </row>
    <row r="24">
      <c r="A24" s="258" t="n"/>
      <c r="B24" s="258" t="n"/>
      <c r="C24" s="121" t="n"/>
      <c r="D24" s="122" t="n"/>
      <c r="E24" s="261" t="n"/>
      <c r="F24" s="261" t="n"/>
      <c r="G24" s="121" t="n"/>
      <c r="H24" s="287" t="n"/>
      <c r="I24" s="287" t="n"/>
      <c r="J24" s="287" t="n"/>
      <c r="K24" s="122" t="n"/>
      <c r="L24" s="121" t="n"/>
      <c r="M24" s="287" t="n"/>
      <c r="N24" s="122" t="n"/>
      <c r="O24" s="122" t="n"/>
      <c r="P24" s="261" t="n"/>
    </row>
    <row r="25">
      <c r="A25" s="258" t="n"/>
      <c r="B25" s="258" t="n"/>
      <c r="C25" s="125" t="n"/>
      <c r="D25" s="124" t="n"/>
      <c r="E25" s="258" t="n"/>
      <c r="F25" s="258" t="n"/>
      <c r="G25" s="125" t="n"/>
      <c r="H25" s="255" t="n"/>
      <c r="I25" s="255" t="n"/>
      <c r="J25" s="255" t="n"/>
      <c r="K25" s="124" t="n"/>
      <c r="L25" s="121" t="n"/>
      <c r="M25" s="255" t="n"/>
      <c r="N25" s="124" t="n"/>
      <c r="O25" s="124" t="n"/>
      <c r="P25" s="258" t="n"/>
    </row>
    <row r="26">
      <c r="A26" s="258" t="n"/>
      <c r="B26" s="258" t="n"/>
      <c r="C26" s="125" t="n"/>
      <c r="D26" s="124" t="n"/>
      <c r="E26" s="258" t="n"/>
      <c r="F26" s="258" t="n"/>
      <c r="G26" s="125" t="n"/>
      <c r="H26" s="255" t="n"/>
      <c r="I26" s="255" t="n"/>
      <c r="J26" s="255" t="n"/>
      <c r="K26" s="124" t="n"/>
      <c r="L26" s="125" t="n"/>
      <c r="M26" s="255" t="n"/>
      <c r="N26" s="124" t="n"/>
      <c r="O26" s="124" t="n"/>
      <c r="P26" s="258" t="n"/>
    </row>
    <row r="27">
      <c r="A27" s="258" t="n"/>
      <c r="B27" s="258" t="n"/>
      <c r="C27" s="125" t="n"/>
      <c r="D27" s="124" t="n"/>
      <c r="E27" s="258" t="n"/>
      <c r="F27" s="258" t="n"/>
      <c r="G27" s="125" t="n"/>
      <c r="H27" s="255" t="n"/>
      <c r="I27" s="255" t="n"/>
      <c r="J27" s="255" t="n"/>
      <c r="K27" s="124" t="n"/>
      <c r="L27" s="125" t="n"/>
      <c r="M27" s="255" t="n"/>
      <c r="N27" s="124" t="n"/>
      <c r="O27" s="124" t="n"/>
      <c r="P27" s="258" t="n"/>
    </row>
    <row r="28">
      <c r="A28" s="258" t="n"/>
      <c r="B28" s="258" t="n"/>
      <c r="C28" s="125" t="n"/>
      <c r="D28" s="124" t="n"/>
      <c r="E28" s="258" t="n"/>
      <c r="F28" s="258" t="n"/>
      <c r="G28" s="125" t="n"/>
      <c r="H28" s="255" t="n"/>
      <c r="I28" s="255" t="n"/>
      <c r="J28" s="255" t="n"/>
      <c r="K28" s="124" t="n"/>
      <c r="L28" s="125" t="n"/>
      <c r="M28" s="255" t="n"/>
      <c r="N28" s="124" t="n"/>
      <c r="O28" s="124" t="n"/>
      <c r="P28" s="258" t="n"/>
    </row>
    <row r="29">
      <c r="A29" s="258" t="n"/>
      <c r="B29" s="258" t="n"/>
      <c r="C29" s="121" t="n"/>
      <c r="D29" s="122" t="n"/>
      <c r="E29" s="261" t="n"/>
      <c r="F29" s="261" t="n"/>
      <c r="G29" s="121" t="n"/>
      <c r="H29" s="287" t="n"/>
      <c r="I29" s="287" t="n"/>
      <c r="J29" s="287" t="n"/>
      <c r="K29" s="122" t="n"/>
      <c r="L29" s="121" t="n"/>
      <c r="M29" s="287" t="n"/>
      <c r="N29" s="122" t="n"/>
      <c r="O29" s="122" t="n"/>
      <c r="P29" s="261" t="n"/>
    </row>
    <row r="30">
      <c r="A30" s="258" t="n"/>
      <c r="B30" s="258" t="n"/>
      <c r="C30" s="121" t="n"/>
      <c r="D30" s="122" t="n"/>
      <c r="E30" s="261" t="n"/>
      <c r="F30" s="261" t="n"/>
      <c r="G30" s="121" t="n"/>
      <c r="H30" s="287" t="n"/>
      <c r="I30" s="287" t="n"/>
      <c r="J30" s="287" t="n"/>
      <c r="K30" s="122" t="n"/>
      <c r="L30" s="121" t="n"/>
      <c r="M30" s="287" t="n"/>
      <c r="N30" s="122" t="n"/>
      <c r="O30" s="122" t="n"/>
      <c r="P30" s="261" t="n"/>
    </row>
    <row r="31">
      <c r="A31" s="258" t="n"/>
      <c r="B31" s="258" t="n"/>
      <c r="C31" s="121" t="n"/>
      <c r="D31" s="122" t="n"/>
      <c r="E31" s="261" t="n"/>
      <c r="F31" s="261" t="n"/>
      <c r="G31" s="121" t="n"/>
      <c r="H31" s="287" t="n"/>
      <c r="I31" s="287" t="n"/>
      <c r="J31" s="287" t="n"/>
      <c r="K31" s="122" t="n"/>
      <c r="L31" s="121" t="n"/>
      <c r="M31" s="287" t="n"/>
      <c r="N31" s="122" t="n"/>
      <c r="O31" s="122" t="n"/>
      <c r="P31" s="261" t="n"/>
    </row>
    <row r="32">
      <c r="A32" s="262" t="n"/>
      <c r="B32" s="258" t="n"/>
      <c r="C32" s="263" t="n"/>
      <c r="D32" s="165" t="n"/>
      <c r="E32" s="262" t="n"/>
      <c r="F32" s="262" t="n"/>
      <c r="G32" s="263" t="n"/>
      <c r="H32" s="175" t="n"/>
      <c r="I32" s="175" t="n"/>
      <c r="J32" s="175" t="n"/>
      <c r="K32" s="264" t="n"/>
      <c r="L32" s="263" t="n"/>
      <c r="M32" s="175" t="n"/>
      <c r="N32" s="264" t="n"/>
      <c r="O32" s="264" t="n"/>
      <c r="P32" s="262" t="n"/>
    </row>
    <row r="33">
      <c r="A33" s="258" t="n"/>
      <c r="B33" s="258" t="n"/>
      <c r="C33" s="121" t="n"/>
      <c r="D33" s="122" t="n"/>
      <c r="E33" s="261" t="n"/>
      <c r="F33" s="261" t="n"/>
      <c r="G33" s="121" t="n"/>
      <c r="H33" s="287" t="n"/>
      <c r="I33" s="287" t="n"/>
      <c r="J33" s="287" t="n"/>
      <c r="K33" s="122" t="n"/>
      <c r="L33" s="121" t="n"/>
      <c r="M33" s="287" t="n"/>
      <c r="N33" s="122" t="n"/>
      <c r="O33" s="122" t="n"/>
      <c r="P33" s="261" t="n"/>
    </row>
    <row r="34">
      <c r="A34" s="258" t="n"/>
      <c r="B34" s="258" t="n"/>
      <c r="C34" s="125" t="n"/>
      <c r="D34" s="122" t="n"/>
      <c r="E34" s="261" t="n"/>
      <c r="F34" s="248" t="n"/>
      <c r="G34" s="121" t="n"/>
      <c r="H34" s="287" t="n"/>
      <c r="I34" s="287" t="n"/>
      <c r="J34" s="287" t="n"/>
      <c r="K34" s="122" t="n"/>
      <c r="L34" s="121" t="n"/>
      <c r="M34" s="287" t="n"/>
      <c r="N34" s="122" t="n"/>
      <c r="O34" s="122" t="n"/>
      <c r="P34" s="261" t="n"/>
    </row>
    <row r="35">
      <c r="A35" s="258" t="n"/>
      <c r="B35" s="258" t="n"/>
      <c r="C35" s="125" t="n"/>
      <c r="D35" s="124" t="n"/>
      <c r="E35" s="258" t="n"/>
      <c r="F35" s="258" t="n"/>
      <c r="G35" s="125" t="n"/>
      <c r="H35" s="255" t="n"/>
      <c r="I35" s="255" t="n"/>
      <c r="J35" s="255" t="n"/>
      <c r="K35" s="124" t="n"/>
      <c r="L35" s="125" t="n"/>
      <c r="M35" s="255" t="n"/>
      <c r="N35" s="124" t="n"/>
      <c r="O35" s="124" t="n"/>
      <c r="P35" s="258" t="n"/>
    </row>
    <row r="36">
      <c r="A36" s="258" t="n"/>
      <c r="B36" s="258" t="n"/>
      <c r="C36" s="125" t="n"/>
      <c r="D36" s="122" t="n"/>
      <c r="E36" s="258" t="n"/>
      <c r="F36" s="258" t="n"/>
      <c r="G36" s="125" t="n"/>
      <c r="H36" s="255" t="n"/>
      <c r="I36" s="255" t="n"/>
      <c r="J36" s="255" t="n"/>
      <c r="K36" s="124" t="n"/>
      <c r="L36" s="125" t="n"/>
      <c r="M36" s="255" t="n"/>
      <c r="N36" s="124" t="n"/>
      <c r="O36" s="124" t="n"/>
      <c r="P36" s="258" t="n"/>
    </row>
    <row r="37">
      <c r="A37" s="258" t="n"/>
      <c r="B37" s="258" t="n"/>
      <c r="C37" s="125" t="n"/>
      <c r="D37" s="122" t="n"/>
      <c r="E37" s="258" t="n"/>
      <c r="F37" s="258" t="n"/>
      <c r="G37" s="125" t="n"/>
      <c r="H37" s="255" t="n"/>
      <c r="I37" s="255" t="n"/>
      <c r="J37" s="255" t="n"/>
      <c r="K37" s="124" t="n"/>
      <c r="L37" s="125" t="n"/>
      <c r="M37" s="255" t="n"/>
      <c r="N37" s="124" t="n"/>
      <c r="O37" s="124" t="n"/>
      <c r="P37" s="258" t="n"/>
      <c r="Q37" s="249" t="n"/>
      <c r="R37" s="249" t="n"/>
      <c r="S37" s="127" t="n"/>
      <c r="T37" s="127" t="n"/>
      <c r="U37" s="127" t="n"/>
      <c r="V37" s="127" t="n"/>
    </row>
    <row r="38">
      <c r="A38" s="258" t="n"/>
      <c r="B38" s="258" t="n"/>
      <c r="C38" s="121" t="n"/>
      <c r="D38" s="122" t="n"/>
      <c r="E38" s="261" t="n"/>
      <c r="F38" s="261" t="n"/>
      <c r="G38" s="121" t="n"/>
      <c r="H38" s="287" t="n"/>
      <c r="I38" s="287" t="n"/>
      <c r="J38" s="287" t="n"/>
      <c r="K38" s="122" t="n"/>
      <c r="L38" s="121" t="n"/>
      <c r="M38" s="287" t="n"/>
      <c r="N38" s="122" t="n"/>
      <c r="O38" s="122" t="n"/>
      <c r="P38" s="261" t="n"/>
    </row>
    <row r="39">
      <c r="A39" s="258" t="n"/>
      <c r="B39" s="258" t="n"/>
      <c r="C39" s="125" t="n"/>
      <c r="D39" s="124" t="n"/>
      <c r="E39" s="258" t="n"/>
      <c r="F39" s="254" t="n"/>
      <c r="G39" s="125" t="n"/>
      <c r="H39" s="255" t="n"/>
      <c r="I39" s="255" t="n"/>
      <c r="J39" s="255" t="n"/>
      <c r="K39" s="124" t="n"/>
      <c r="L39" s="125" t="n"/>
      <c r="M39" s="255" t="n"/>
      <c r="N39" s="124" t="n"/>
      <c r="O39" s="124" t="n"/>
      <c r="P39" s="258" t="n"/>
    </row>
    <row r="40">
      <c r="A40" s="258" t="n"/>
      <c r="B40" s="258" t="n"/>
      <c r="C40" s="121" t="n"/>
      <c r="D40" s="122" t="n"/>
      <c r="E40" s="261" t="n"/>
      <c r="F40" s="261" t="n"/>
      <c r="G40" s="121" t="n"/>
      <c r="H40" s="287" t="n"/>
      <c r="I40" s="287" t="n"/>
      <c r="J40" s="287" t="n"/>
      <c r="K40" s="122" t="n"/>
      <c r="L40" s="121" t="n"/>
      <c r="M40" s="287" t="n"/>
      <c r="N40" s="122" t="n"/>
      <c r="O40" s="122" t="n"/>
      <c r="P40" s="261" t="n"/>
    </row>
    <row r="41">
      <c r="A41" s="258" t="n"/>
      <c r="B41" s="258" t="n"/>
      <c r="C41" s="125" t="n"/>
      <c r="D41" s="124" t="n"/>
      <c r="E41" s="258" t="n"/>
      <c r="F41" s="258" t="n"/>
      <c r="G41" s="125" t="n"/>
      <c r="H41" s="255" t="n"/>
      <c r="I41" s="255" t="n"/>
      <c r="J41" s="255" t="n"/>
      <c r="K41" s="124" t="n"/>
      <c r="L41" s="125" t="n"/>
      <c r="M41" s="255" t="n"/>
      <c r="N41" s="124" t="n"/>
      <c r="O41" s="124" t="n"/>
      <c r="P41" s="258" t="n"/>
    </row>
    <row r="42">
      <c r="A42" s="258" t="n"/>
      <c r="B42" s="258" t="n"/>
      <c r="C42" s="125" t="n"/>
      <c r="D42" s="124" t="n"/>
      <c r="E42" s="258" t="n"/>
      <c r="F42" s="258" t="n"/>
      <c r="G42" s="125" t="n"/>
      <c r="H42" s="255" t="n"/>
      <c r="I42" s="255" t="n"/>
      <c r="J42" s="255" t="n"/>
      <c r="K42" s="124" t="n"/>
      <c r="L42" s="125" t="n"/>
      <c r="M42" s="255" t="n"/>
      <c r="N42" s="124" t="n"/>
      <c r="O42" s="124" t="n"/>
      <c r="P42" s="258" t="n"/>
    </row>
    <row r="43">
      <c r="A43" s="258" t="n"/>
      <c r="B43" s="258" t="n"/>
      <c r="C43" s="121" t="n"/>
      <c r="D43" s="122" t="n"/>
      <c r="E43" s="261" t="n"/>
      <c r="F43" s="261" t="n"/>
      <c r="G43" s="121" t="n"/>
      <c r="H43" s="287" t="n"/>
      <c r="I43" s="287" t="n"/>
      <c r="J43" s="287" t="n"/>
      <c r="K43" s="122" t="n"/>
      <c r="L43" s="121" t="n"/>
      <c r="M43" s="287" t="n"/>
      <c r="N43" s="122" t="n"/>
      <c r="O43" s="122" t="n"/>
      <c r="P43" s="261" t="n"/>
    </row>
    <row r="44">
      <c r="A44" s="258" t="n"/>
      <c r="B44" s="258" t="n"/>
      <c r="C44" s="125" t="n"/>
      <c r="D44" s="124" t="n"/>
      <c r="E44" s="258" t="n"/>
      <c r="F44" s="258" t="n"/>
      <c r="G44" s="125" t="n"/>
      <c r="H44" s="255" t="n"/>
      <c r="I44" s="255" t="n"/>
      <c r="J44" s="255" t="n"/>
      <c r="K44" s="124" t="n"/>
      <c r="L44" s="125" t="n"/>
      <c r="M44" s="255" t="n"/>
      <c r="N44" s="124" t="n"/>
      <c r="O44" s="124" t="n"/>
      <c r="P44" s="258" t="n"/>
    </row>
    <row r="45">
      <c r="A45" s="258" t="n"/>
      <c r="B45" s="258" t="n"/>
      <c r="C45" s="125" t="n"/>
      <c r="D45" s="124" t="n"/>
      <c r="E45" s="258" t="n"/>
      <c r="F45" s="258" t="n"/>
      <c r="G45" s="125" t="n"/>
      <c r="H45" s="255" t="n"/>
      <c r="I45" s="255" t="n"/>
      <c r="J45" s="255" t="n"/>
      <c r="K45" s="124" t="n"/>
      <c r="L45" s="125" t="n"/>
      <c r="M45" s="255" t="n"/>
      <c r="N45" s="124" t="n"/>
      <c r="O45" s="124" t="n"/>
      <c r="P45" s="258" t="n"/>
    </row>
    <row r="46">
      <c r="A46" s="258" t="n"/>
      <c r="B46" s="258" t="n"/>
      <c r="C46" s="125" t="n"/>
      <c r="D46" s="124" t="n"/>
      <c r="E46" s="258" t="n"/>
      <c r="F46" s="258" t="n"/>
      <c r="G46" s="125" t="n"/>
      <c r="H46" s="255" t="n"/>
      <c r="I46" s="255" t="n"/>
      <c r="J46" s="255" t="n"/>
      <c r="K46" s="124" t="n"/>
      <c r="L46" s="125" t="n"/>
      <c r="M46" s="255" t="n"/>
      <c r="N46" s="124" t="n"/>
      <c r="O46" s="124" t="n"/>
      <c r="P46" s="258" t="n"/>
    </row>
    <row r="47">
      <c r="A47" s="261" t="n"/>
      <c r="B47" s="258" t="n"/>
      <c r="C47" s="121" t="n"/>
      <c r="D47" s="122" t="n"/>
      <c r="E47" s="261" t="n"/>
      <c r="F47" s="261" t="n"/>
      <c r="G47" s="121" t="n"/>
      <c r="H47" s="287" t="n"/>
      <c r="I47" s="287" t="n"/>
      <c r="J47" s="287" t="n"/>
      <c r="K47" s="122" t="n"/>
      <c r="L47" s="121" t="n"/>
      <c r="M47" s="287" t="n"/>
      <c r="N47" s="122" t="n"/>
      <c r="O47" s="122" t="n"/>
      <c r="P47" s="261" t="n"/>
    </row>
    <row r="48">
      <c r="A48" s="262" t="n"/>
      <c r="B48" s="258" t="n"/>
      <c r="C48" s="164" t="n"/>
      <c r="D48" s="165" t="n"/>
      <c r="E48" s="251" t="n"/>
      <c r="F48" s="251" t="n"/>
      <c r="G48" s="164" t="n"/>
      <c r="H48" s="174" t="n"/>
      <c r="I48" s="174" t="n"/>
      <c r="J48" s="174" t="n"/>
      <c r="K48" s="165" t="n"/>
      <c r="L48" s="164" t="n"/>
      <c r="M48" s="174" t="n"/>
      <c r="N48" s="165" t="n"/>
      <c r="O48" s="165" t="n"/>
      <c r="P48" s="251" t="n"/>
    </row>
    <row r="49">
      <c r="A49" s="258" t="n"/>
      <c r="B49" s="258" t="n"/>
      <c r="C49" s="125" t="n"/>
      <c r="D49" s="124" t="n"/>
      <c r="E49" s="258" t="n"/>
      <c r="F49" s="258" t="n"/>
      <c r="G49" s="125" t="n"/>
      <c r="H49" s="255" t="n"/>
      <c r="I49" s="255" t="n"/>
      <c r="J49" s="255" t="n"/>
      <c r="K49" s="124" t="n"/>
      <c r="L49" s="125" t="n"/>
      <c r="M49" s="255" t="n"/>
      <c r="N49" s="124" t="n"/>
      <c r="O49" s="124" t="n"/>
      <c r="P49" s="258" t="n"/>
    </row>
    <row r="50">
      <c r="A50" s="258" t="n"/>
      <c r="B50" s="258" t="n"/>
      <c r="C50" s="121" t="n"/>
      <c r="D50" s="122" t="n"/>
      <c r="E50" s="261" t="n"/>
      <c r="F50" s="261" t="n"/>
      <c r="G50" s="121" t="n"/>
      <c r="H50" s="287" t="n"/>
      <c r="I50" s="287" t="n"/>
      <c r="J50" s="287" t="n"/>
      <c r="K50" s="122" t="n"/>
      <c r="L50" s="121" t="n"/>
      <c r="M50" s="287" t="n"/>
      <c r="N50" s="122" t="n"/>
      <c r="O50" s="122" t="n"/>
      <c r="P50" s="258" t="n"/>
    </row>
    <row r="51">
      <c r="A51" s="258" t="n"/>
      <c r="B51" s="258" t="n"/>
      <c r="C51" s="125" t="n"/>
      <c r="D51" s="124" t="n"/>
      <c r="E51" s="258" t="n"/>
      <c r="F51" s="258" t="n"/>
      <c r="G51" s="125" t="n"/>
      <c r="H51" s="255" t="n"/>
      <c r="I51" s="255" t="n"/>
      <c r="J51" s="255" t="n"/>
      <c r="K51" s="124" t="n"/>
      <c r="L51" s="125" t="n"/>
      <c r="M51" s="255" t="n"/>
      <c r="N51" s="124" t="n"/>
      <c r="O51" s="124" t="n"/>
      <c r="P51" s="258" t="n"/>
    </row>
    <row r="52">
      <c r="A52" s="258" t="n"/>
      <c r="B52" s="258" t="n"/>
      <c r="C52" s="125" t="n"/>
      <c r="D52" s="124" t="n"/>
      <c r="E52" s="258" t="n"/>
      <c r="F52" s="258" t="n"/>
      <c r="G52" s="125" t="n"/>
      <c r="H52" s="255" t="n"/>
      <c r="I52" s="255" t="n"/>
      <c r="J52" s="255" t="n"/>
      <c r="K52" s="124" t="n"/>
      <c r="L52" s="250" t="n"/>
      <c r="M52" s="255" t="n"/>
      <c r="N52" s="124" t="n"/>
      <c r="O52" s="124" t="n"/>
      <c r="P52" s="258" t="n"/>
    </row>
    <row r="53">
      <c r="A53" s="251" t="n"/>
      <c r="B53" s="258" t="n"/>
      <c r="C53" s="164" t="n"/>
      <c r="D53" s="165" t="n"/>
      <c r="E53" s="251" t="n"/>
      <c r="F53" s="251" t="n"/>
      <c r="G53" s="164" t="n"/>
      <c r="H53" s="174" t="n"/>
      <c r="I53" s="174" t="n"/>
      <c r="J53" s="174" t="n"/>
      <c r="K53" s="165" t="n"/>
      <c r="L53" s="164" t="n"/>
      <c r="M53" s="174" t="n"/>
      <c r="N53" s="165" t="n"/>
      <c r="O53" s="165" t="n"/>
      <c r="P53" s="251" t="n"/>
    </row>
    <row r="54">
      <c r="A54" s="261" t="n"/>
      <c r="B54" s="258" t="n"/>
      <c r="C54" s="121" t="n"/>
      <c r="D54" s="122" t="n"/>
      <c r="E54" s="261" t="n"/>
      <c r="F54" s="261" t="n"/>
      <c r="G54" s="121" t="n"/>
      <c r="H54" s="287" t="n"/>
      <c r="I54" s="287" t="n"/>
      <c r="J54" s="287" t="n"/>
      <c r="K54" s="122" t="n"/>
      <c r="L54" s="121" t="n"/>
      <c r="M54" s="287" t="n"/>
      <c r="N54" s="122" t="n"/>
      <c r="O54" s="122" t="n"/>
      <c r="P54" s="261" t="n"/>
    </row>
    <row r="55">
      <c r="A55" s="258" t="n"/>
      <c r="B55" s="258" t="n"/>
      <c r="C55" s="125" t="n"/>
      <c r="D55" s="124" t="n"/>
      <c r="E55" s="258" t="n"/>
      <c r="F55" s="258" t="n"/>
      <c r="G55" s="125" t="n"/>
      <c r="H55" s="255" t="n"/>
      <c r="I55" s="255" t="n"/>
      <c r="J55" s="255" t="n"/>
      <c r="K55" s="124" t="n"/>
      <c r="L55" s="125" t="n"/>
      <c r="M55" s="255" t="n"/>
      <c r="N55" s="124" t="n"/>
      <c r="O55" s="124" t="n"/>
      <c r="P55" s="258" t="n"/>
    </row>
    <row r="56">
      <c r="A56" s="262" t="n"/>
      <c r="B56" s="258" t="n"/>
      <c r="C56" s="164" t="n"/>
      <c r="D56" s="165" t="n"/>
      <c r="E56" s="251" t="n"/>
      <c r="F56" s="251" t="n"/>
      <c r="G56" s="164" t="n"/>
      <c r="H56" s="174" t="n"/>
      <c r="I56" s="174" t="n"/>
      <c r="J56" s="174" t="n"/>
      <c r="K56" s="165" t="n"/>
      <c r="L56" s="164" t="n"/>
      <c r="M56" s="174" t="n"/>
      <c r="N56" s="165" t="n"/>
      <c r="O56" s="165" t="n"/>
      <c r="P56" s="251" t="n"/>
    </row>
    <row r="57">
      <c r="A57" s="258" t="n"/>
      <c r="B57" s="258" t="n"/>
      <c r="C57" s="125" t="n"/>
      <c r="D57" s="124" t="n"/>
      <c r="E57" s="258" t="n"/>
      <c r="F57" s="258" t="n"/>
      <c r="G57" s="125" t="n"/>
      <c r="H57" s="255" t="n"/>
      <c r="I57" s="255" t="n"/>
      <c r="J57" s="255" t="n"/>
      <c r="K57" s="124" t="n"/>
      <c r="L57" s="125" t="n"/>
      <c r="M57" s="255" t="n"/>
      <c r="N57" s="124" t="n"/>
      <c r="O57" s="124" t="n"/>
      <c r="P57" s="258" t="n"/>
    </row>
    <row r="58">
      <c r="A58" s="258" t="n"/>
      <c r="B58" s="258" t="n"/>
      <c r="C58" s="125" t="n"/>
      <c r="D58" s="124" t="n"/>
      <c r="E58" s="258" t="n"/>
      <c r="F58" s="258" t="n"/>
      <c r="G58" s="125" t="n"/>
      <c r="H58" s="255" t="n"/>
      <c r="I58" s="255" t="n"/>
      <c r="J58" s="255" t="n"/>
      <c r="K58" s="124" t="n"/>
      <c r="L58" s="125" t="n"/>
      <c r="M58" s="255" t="n"/>
      <c r="N58" s="124" t="n"/>
      <c r="O58" s="124" t="n"/>
      <c r="P58" s="258" t="n"/>
    </row>
    <row r="59">
      <c r="A59" s="258" t="n"/>
      <c r="B59" s="258" t="n"/>
      <c r="C59" s="121" t="n"/>
      <c r="D59" s="122" t="n"/>
      <c r="E59" s="261" t="n"/>
      <c r="F59" s="261" t="n"/>
      <c r="G59" s="121" t="n"/>
      <c r="H59" s="287" t="n"/>
      <c r="I59" s="287" t="n"/>
      <c r="J59" s="287" t="n"/>
      <c r="K59" s="122" t="n"/>
      <c r="L59" s="121" t="n"/>
      <c r="M59" s="287" t="n"/>
      <c r="N59" s="122" t="n"/>
      <c r="O59" s="122" t="n"/>
      <c r="P59" s="261" t="n"/>
      <c r="Q59" s="127" t="n"/>
      <c r="R59" s="127" t="n"/>
      <c r="S59" s="127" t="n"/>
      <c r="T59" s="127" t="n"/>
      <c r="U59" s="127" t="n"/>
      <c r="V59" s="127" t="n"/>
    </row>
    <row r="60">
      <c r="A60" s="251" t="n"/>
      <c r="B60" s="258" t="n"/>
      <c r="C60" s="164" t="n"/>
      <c r="D60" s="165" t="n"/>
      <c r="E60" s="251" t="n"/>
      <c r="F60" s="251" t="n"/>
      <c r="G60" s="164" t="n"/>
      <c r="H60" s="174" t="n"/>
      <c r="I60" s="174" t="n"/>
      <c r="J60" s="174" t="n"/>
      <c r="K60" s="165" t="n"/>
      <c r="L60" s="164" t="n"/>
      <c r="M60" s="174" t="n"/>
      <c r="N60" s="165" t="n"/>
      <c r="O60" s="165" t="n"/>
      <c r="P60" s="251" t="n"/>
    </row>
    <row r="61">
      <c r="A61" s="258" t="n"/>
      <c r="B61" s="258" t="n"/>
      <c r="C61" s="121" t="n"/>
      <c r="D61" s="122" t="n"/>
      <c r="E61" s="261" t="n"/>
      <c r="F61" s="261" t="n"/>
      <c r="G61" s="121" t="n"/>
      <c r="H61" s="287" t="n"/>
      <c r="I61" s="287" t="n"/>
      <c r="J61" s="287" t="n"/>
      <c r="K61" s="122" t="n"/>
      <c r="L61" s="121" t="n"/>
      <c r="M61" s="287" t="n"/>
      <c r="N61" s="122" t="n"/>
      <c r="O61" s="122" t="n"/>
      <c r="P61" s="261" t="n"/>
    </row>
    <row r="62">
      <c r="A62" s="262" t="n"/>
      <c r="B62" s="258" t="n"/>
      <c r="C62" s="263" t="n"/>
      <c r="D62" s="264" t="n"/>
      <c r="E62" s="262" t="n"/>
      <c r="F62" s="262" t="n"/>
      <c r="G62" s="263" t="n"/>
      <c r="H62" s="175" t="n"/>
      <c r="I62" s="175" t="n"/>
      <c r="J62" s="175" t="n"/>
      <c r="K62" s="264" t="n"/>
      <c r="L62" s="263" t="n"/>
      <c r="M62" s="175" t="n"/>
      <c r="N62" s="264" t="n"/>
      <c r="O62" s="264" t="n"/>
      <c r="P62" s="262" t="n"/>
    </row>
    <row r="63">
      <c r="A63" s="261" t="n"/>
      <c r="B63" s="258" t="n"/>
      <c r="C63" s="121" t="n"/>
      <c r="D63" s="122" t="n"/>
      <c r="E63" s="261" t="n"/>
      <c r="F63" s="261" t="n"/>
      <c r="G63" s="121" t="n"/>
      <c r="H63" s="287" t="n"/>
      <c r="I63" s="287" t="n"/>
      <c r="J63" s="287" t="n"/>
      <c r="K63" s="122" t="n"/>
      <c r="L63" s="121" t="n"/>
      <c r="M63" s="287" t="n"/>
      <c r="N63" s="122" t="n"/>
      <c r="O63" s="122" t="n"/>
      <c r="P63" s="261" t="n"/>
    </row>
    <row r="64">
      <c r="A64" s="258" t="n"/>
      <c r="B64" s="258" t="n"/>
      <c r="C64" s="125" t="n"/>
      <c r="D64" s="124" t="n"/>
      <c r="E64" s="258" t="n"/>
      <c r="F64" s="258" t="n"/>
      <c r="G64" s="125" t="n"/>
      <c r="H64" s="255" t="n"/>
      <c r="I64" s="255" t="n"/>
      <c r="J64" s="255" t="n"/>
      <c r="K64" s="124" t="n"/>
      <c r="L64" s="125" t="n"/>
      <c r="M64" s="255" t="n"/>
      <c r="N64" s="124" t="n"/>
      <c r="O64" s="124" t="n"/>
      <c r="P64" s="258" t="n"/>
    </row>
    <row r="65">
      <c r="A65" s="258" t="n"/>
      <c r="B65" s="258" t="n"/>
      <c r="C65" s="125" t="n"/>
      <c r="D65" s="124" t="n"/>
      <c r="E65" s="258" t="n"/>
      <c r="F65" s="258" t="n"/>
      <c r="G65" s="125" t="n"/>
      <c r="H65" s="255" t="n"/>
      <c r="I65" s="255" t="n"/>
      <c r="J65" s="255" t="n"/>
      <c r="K65" s="124" t="n"/>
      <c r="L65" s="125" t="n"/>
      <c r="M65" s="255" t="n"/>
      <c r="N65" s="124" t="n"/>
      <c r="O65" s="124" t="n"/>
      <c r="P65" s="258" t="n"/>
    </row>
    <row r="66">
      <c r="A66" s="262" t="n"/>
      <c r="B66" s="258" t="n"/>
      <c r="C66" s="164" t="n"/>
      <c r="D66" s="165" t="n"/>
      <c r="E66" s="251" t="n"/>
      <c r="F66" s="251" t="n"/>
      <c r="G66" s="164" t="n"/>
      <c r="H66" s="174" t="n"/>
      <c r="I66" s="174" t="n"/>
      <c r="J66" s="174" t="n"/>
      <c r="K66" s="165" t="n"/>
      <c r="L66" s="164" t="n"/>
      <c r="M66" s="174" t="n"/>
      <c r="N66" s="165" t="n"/>
      <c r="O66" s="165" t="n"/>
      <c r="P66" s="251" t="n"/>
    </row>
    <row r="67">
      <c r="A67" s="258" t="n"/>
      <c r="B67" s="258" t="n"/>
      <c r="C67" s="125" t="n"/>
      <c r="D67" s="124" t="n"/>
      <c r="E67" s="258" t="n"/>
      <c r="F67" s="258" t="n"/>
      <c r="G67" s="125" t="n"/>
      <c r="H67" s="255" t="n"/>
      <c r="I67" s="255" t="n"/>
      <c r="J67" s="255" t="n"/>
      <c r="K67" s="124" t="n"/>
      <c r="L67" s="125" t="n"/>
      <c r="M67" s="255" t="n"/>
      <c r="N67" s="124" t="n"/>
      <c r="O67" s="124" t="n"/>
      <c r="P67" s="258" t="n"/>
    </row>
    <row r="68" customFormat="1" s="252">
      <c r="A68" s="258" t="n"/>
      <c r="B68" s="258" t="n"/>
      <c r="C68" s="121" t="n"/>
      <c r="D68" s="122" t="n"/>
      <c r="E68" s="261" t="n"/>
      <c r="F68" s="261" t="n"/>
      <c r="G68" s="121" t="n"/>
      <c r="H68" s="287" t="n"/>
      <c r="I68" s="287" t="n"/>
      <c r="J68" s="287" t="n"/>
      <c r="K68" s="122" t="n"/>
      <c r="L68" s="121" t="n"/>
      <c r="M68" s="287" t="n"/>
      <c r="N68" s="122" t="n"/>
      <c r="O68" s="122" t="n"/>
      <c r="P68" s="261" t="n"/>
      <c r="Q68" s="146" t="n"/>
      <c r="R68" s="146" t="n"/>
      <c r="S68" s="146" t="n"/>
      <c r="T68" s="146" t="n"/>
      <c r="U68" s="146" t="n"/>
      <c r="V68" s="146" t="n"/>
    </row>
    <row r="69">
      <c r="A69" s="258" t="n"/>
      <c r="B69" s="258" t="n"/>
      <c r="C69" s="125" t="n"/>
      <c r="D69" s="124" t="n"/>
      <c r="E69" s="258" t="n"/>
      <c r="F69" s="253" t="n"/>
      <c r="G69" s="125" t="n"/>
      <c r="H69" s="255" t="n"/>
      <c r="I69" s="255" t="n"/>
      <c r="J69" s="255" t="n"/>
      <c r="K69" s="124" t="n"/>
      <c r="L69" s="125" t="n"/>
      <c r="M69" s="255" t="n"/>
      <c r="N69" s="124" t="n"/>
      <c r="O69" s="124" t="n"/>
      <c r="P69" s="258" t="n"/>
    </row>
    <row r="70">
      <c r="A70" s="258" t="n"/>
      <c r="B70" s="258" t="n"/>
      <c r="C70" s="125" t="n"/>
      <c r="D70" s="124" t="n"/>
      <c r="E70" s="258" t="n"/>
      <c r="F70" s="258" t="n"/>
      <c r="G70" s="125" t="n"/>
      <c r="H70" s="255" t="n"/>
      <c r="I70" s="255" t="n"/>
      <c r="J70" s="255" t="n"/>
      <c r="K70" s="124" t="n"/>
      <c r="L70" s="125" t="n"/>
      <c r="M70" s="255" t="n"/>
      <c r="N70" s="124" t="n"/>
      <c r="O70" s="124" t="n"/>
      <c r="P70" s="258" t="n"/>
    </row>
    <row r="71">
      <c r="A71" s="258" t="n"/>
      <c r="B71" s="258" t="n"/>
      <c r="C71" s="125" t="n"/>
      <c r="D71" s="124" t="n"/>
      <c r="E71" s="258" t="n"/>
      <c r="F71" s="258" t="n"/>
      <c r="G71" s="125" t="n"/>
      <c r="H71" s="255" t="n"/>
      <c r="I71" s="255" t="n"/>
      <c r="J71" s="255" t="n"/>
      <c r="K71" s="124" t="n"/>
      <c r="L71" s="125" t="n"/>
      <c r="M71" s="255" t="n"/>
      <c r="N71" s="124" t="n"/>
      <c r="O71" s="124" t="n"/>
      <c r="P71" s="258" t="n"/>
    </row>
    <row r="72">
      <c r="A72" s="258" t="n"/>
      <c r="B72" s="258" t="n"/>
      <c r="C72" s="121" t="n"/>
      <c r="D72" s="122" t="n"/>
      <c r="E72" s="261" t="n"/>
      <c r="F72" s="261" t="n"/>
      <c r="G72" s="121" t="n"/>
      <c r="H72" s="287" t="n"/>
      <c r="I72" s="287" t="n"/>
      <c r="J72" s="287" t="n"/>
      <c r="K72" s="122" t="n"/>
      <c r="L72" s="121" t="n"/>
      <c r="M72" s="287" t="n"/>
      <c r="N72" s="122" t="n"/>
      <c r="O72" s="122" t="n"/>
      <c r="P72" s="261" t="n"/>
    </row>
    <row r="73">
      <c r="A73" s="258" t="n"/>
      <c r="B73" s="258" t="n"/>
      <c r="C73" s="125" t="n"/>
      <c r="D73" s="124" t="n"/>
      <c r="E73" s="258" t="n"/>
      <c r="F73" s="258" t="n"/>
      <c r="G73" s="125" t="n"/>
      <c r="H73" s="255" t="n"/>
      <c r="I73" s="255" t="n"/>
      <c r="J73" s="255" t="n"/>
      <c r="K73" s="124" t="n"/>
      <c r="L73" s="125" t="n"/>
      <c r="M73" s="255" t="n"/>
      <c r="N73" s="124" t="n"/>
      <c r="O73" s="124" t="n"/>
      <c r="P73" s="258" t="n"/>
    </row>
    <row r="74">
      <c r="A74" s="258" t="n"/>
      <c r="B74" s="258" t="n"/>
      <c r="C74" s="125" t="n"/>
      <c r="D74" s="124" t="n"/>
      <c r="E74" s="258" t="n"/>
      <c r="F74" s="258" t="n"/>
      <c r="G74" s="125" t="n"/>
      <c r="H74" s="255" t="n"/>
      <c r="I74" s="255" t="n"/>
      <c r="J74" s="255" t="n"/>
      <c r="K74" s="124" t="n"/>
      <c r="L74" s="125" t="n"/>
      <c r="M74" s="255" t="n"/>
      <c r="N74" s="124" t="n"/>
      <c r="O74" s="124" t="n"/>
      <c r="P74" s="258" t="n"/>
    </row>
    <row r="75" customFormat="1" s="127">
      <c r="A75" s="258" t="n"/>
      <c r="B75" s="258" t="n"/>
      <c r="C75" s="125" t="n"/>
      <c r="D75" s="124" t="n"/>
      <c r="E75" s="258" t="n"/>
      <c r="F75" s="258" t="n"/>
      <c r="G75" s="125" t="n"/>
      <c r="H75" s="255" t="n"/>
      <c r="I75" s="255" t="n"/>
      <c r="J75" s="255" t="n"/>
      <c r="K75" s="124" t="n"/>
      <c r="L75" s="125" t="n"/>
      <c r="M75" s="255" t="n"/>
      <c r="N75" s="124" t="n"/>
      <c r="O75" s="124" t="n"/>
      <c r="P75" s="258" t="n"/>
      <c r="Q75" s="146" t="n"/>
      <c r="R75" s="146" t="n"/>
      <c r="S75" s="146" t="n"/>
      <c r="T75" s="146" t="n"/>
      <c r="U75" s="146" t="n"/>
      <c r="V75" s="146" t="n"/>
    </row>
    <row r="76">
      <c r="A76" s="258" t="n"/>
      <c r="B76" s="258" t="n"/>
      <c r="C76" s="125" t="n"/>
      <c r="D76" s="124" t="n"/>
      <c r="E76" s="258" t="n"/>
      <c r="F76" s="258" t="n"/>
      <c r="G76" s="125" t="n"/>
      <c r="H76" s="255" t="n"/>
      <c r="I76" s="255" t="n"/>
      <c r="J76" s="255" t="n"/>
      <c r="K76" s="124" t="n"/>
      <c r="L76" s="125" t="n"/>
      <c r="M76" s="255" t="n"/>
      <c r="N76" s="124" t="n"/>
      <c r="O76" s="124" t="n"/>
      <c r="P76" s="258" t="n"/>
    </row>
    <row r="77">
      <c r="A77" s="258" t="n"/>
      <c r="B77" s="258" t="n"/>
      <c r="C77" s="125" t="n"/>
      <c r="D77" s="124" t="n"/>
      <c r="E77" s="258" t="n"/>
      <c r="F77" s="254" t="n"/>
      <c r="G77" s="125" t="n"/>
      <c r="H77" s="255" t="n"/>
      <c r="I77" s="255" t="n"/>
      <c r="J77" s="255" t="n"/>
      <c r="K77" s="124" t="n"/>
      <c r="L77" s="125" t="n"/>
      <c r="M77" s="255" t="n"/>
      <c r="N77" s="124" t="n"/>
      <c r="O77" s="124" t="n"/>
      <c r="P77" s="258" t="n"/>
    </row>
    <row r="78">
      <c r="A78" s="258" t="n"/>
      <c r="B78" s="258" t="n"/>
      <c r="C78" s="125" t="n"/>
      <c r="D78" s="124" t="n"/>
      <c r="E78" s="258" t="n"/>
      <c r="F78" s="258" t="n"/>
      <c r="G78" s="125" t="n"/>
      <c r="H78" s="255" t="n"/>
      <c r="I78" s="255" t="n"/>
      <c r="J78" s="255" t="n"/>
      <c r="K78" s="124" t="n"/>
      <c r="L78" s="125" t="n"/>
      <c r="M78" s="255" t="n"/>
      <c r="N78" s="124" t="n"/>
      <c r="O78" s="124" t="n"/>
      <c r="P78" s="258" t="n"/>
    </row>
    <row r="79">
      <c r="A79" s="258" t="n"/>
      <c r="B79" s="258" t="n"/>
      <c r="C79" s="125" t="n"/>
      <c r="D79" s="124" t="n"/>
      <c r="E79" s="258" t="n"/>
      <c r="F79" s="258" t="n"/>
      <c r="G79" s="125" t="n"/>
      <c r="H79" s="255" t="n"/>
      <c r="I79" s="255" t="n"/>
      <c r="J79" s="255" t="n"/>
      <c r="K79" s="124" t="n"/>
      <c r="L79" s="125" t="n"/>
      <c r="M79" s="255" t="n"/>
      <c r="N79" s="124" t="n"/>
      <c r="O79" s="124" t="n"/>
      <c r="P79" s="258" t="n"/>
    </row>
    <row r="80">
      <c r="A80" s="258" t="n"/>
      <c r="B80" s="258" t="n"/>
      <c r="C80" s="125" t="n"/>
      <c r="D80" s="124" t="n"/>
      <c r="E80" s="258" t="n"/>
      <c r="F80" s="258" t="n"/>
      <c r="G80" s="125" t="n"/>
      <c r="H80" s="255" t="n"/>
      <c r="I80" s="255" t="n"/>
      <c r="J80" s="255" t="n"/>
      <c r="K80" s="124" t="n"/>
      <c r="L80" s="125" t="n"/>
      <c r="M80" s="255" t="n"/>
      <c r="N80" s="124" t="n"/>
      <c r="O80" s="124" t="n"/>
      <c r="P80" s="258" t="n"/>
    </row>
    <row r="81">
      <c r="A81" s="258" t="n"/>
      <c r="B81" s="258" t="n"/>
      <c r="C81" s="125" t="n"/>
      <c r="D81" s="124" t="n"/>
      <c r="E81" s="258" t="n"/>
      <c r="F81" s="258" t="n"/>
      <c r="G81" s="125" t="n"/>
      <c r="H81" s="255" t="n"/>
      <c r="I81" s="255" t="n"/>
      <c r="J81" s="255" t="n"/>
      <c r="K81" s="124" t="n"/>
      <c r="L81" s="125" t="n"/>
      <c r="M81" s="255" t="n"/>
      <c r="N81" s="124" t="n"/>
      <c r="O81" s="124" t="n"/>
      <c r="P81" s="258" t="n"/>
      <c r="Q81" s="252" t="n"/>
      <c r="R81" s="252" t="n"/>
      <c r="S81" s="252" t="n"/>
      <c r="T81" s="252" t="n"/>
      <c r="U81" s="252" t="n"/>
      <c r="V81" s="252" t="n"/>
    </row>
    <row r="82">
      <c r="A82" s="262" t="n"/>
      <c r="B82" s="258" t="n"/>
      <c r="C82" s="263" t="n"/>
      <c r="D82" s="264" t="n"/>
      <c r="E82" s="262" t="n"/>
      <c r="F82" s="262" t="n"/>
      <c r="G82" s="263" t="n"/>
      <c r="H82" s="175" t="n"/>
      <c r="I82" s="175" t="n"/>
      <c r="J82" s="175" t="n"/>
      <c r="K82" s="264" t="n"/>
      <c r="L82" s="263" t="n"/>
      <c r="M82" s="175" t="n"/>
      <c r="N82" s="264" t="n"/>
      <c r="O82" s="264" t="n"/>
      <c r="P82" s="262" t="n"/>
    </row>
    <row r="83">
      <c r="A83" s="258" t="n"/>
      <c r="B83" s="258" t="n"/>
      <c r="C83" s="121" t="n"/>
      <c r="D83" s="122" t="n"/>
      <c r="E83" s="261" t="n"/>
      <c r="F83" s="261" t="n"/>
      <c r="G83" s="121" t="n"/>
      <c r="H83" s="287" t="n"/>
      <c r="I83" s="287" t="n"/>
      <c r="J83" s="287" t="n"/>
      <c r="K83" s="122" t="n"/>
      <c r="L83" s="121" t="n"/>
      <c r="M83" s="287" t="n"/>
      <c r="N83" s="122" t="n"/>
      <c r="O83" s="122" t="n"/>
      <c r="P83" s="261" t="n"/>
    </row>
    <row r="84">
      <c r="A84" s="261" t="n"/>
      <c r="B84" s="258" t="n"/>
      <c r="C84" s="121" t="n"/>
      <c r="D84" s="122" t="n"/>
      <c r="E84" s="261" t="n"/>
      <c r="F84" s="261" t="n"/>
      <c r="G84" s="121" t="n"/>
      <c r="H84" s="287" t="n"/>
      <c r="I84" s="287" t="n"/>
      <c r="J84" s="287" t="n"/>
      <c r="K84" s="122" t="n"/>
      <c r="L84" s="121" t="n"/>
      <c r="M84" s="287" t="n"/>
      <c r="N84" s="122" t="n"/>
      <c r="O84" s="122" t="n"/>
      <c r="P84" s="261" t="n"/>
    </row>
    <row r="85">
      <c r="A85" s="258" t="n"/>
      <c r="B85" s="258" t="n"/>
      <c r="C85" s="125" t="n"/>
      <c r="D85" s="124" t="n"/>
      <c r="E85" s="258" t="n"/>
      <c r="F85" s="258" t="n"/>
      <c r="G85" s="125" t="n"/>
      <c r="H85" s="255" t="n"/>
      <c r="I85" s="255" t="n"/>
      <c r="J85" s="255" t="n"/>
      <c r="K85" s="124" t="n"/>
      <c r="L85" s="125" t="n"/>
      <c r="M85" s="255" t="n"/>
      <c r="N85" s="124" t="n"/>
      <c r="O85" s="124" t="n"/>
      <c r="P85" s="258" t="n"/>
    </row>
    <row r="86">
      <c r="A86" s="258" t="n"/>
      <c r="B86" s="258" t="n"/>
      <c r="C86" s="121" t="n"/>
      <c r="D86" s="122" t="n"/>
      <c r="E86" s="261" t="n"/>
      <c r="F86" s="261" t="n"/>
      <c r="G86" s="121" t="n"/>
      <c r="H86" s="287" t="n"/>
      <c r="I86" s="287" t="n"/>
      <c r="J86" s="287" t="n"/>
      <c r="K86" s="122" t="n"/>
      <c r="L86" s="121" t="n"/>
      <c r="M86" s="287" t="n"/>
      <c r="N86" s="122" t="n"/>
      <c r="O86" s="122" t="n"/>
      <c r="P86" s="261" t="n"/>
    </row>
    <row r="87">
      <c r="A87" s="258" t="n"/>
      <c r="B87" s="258" t="n"/>
      <c r="C87" s="125" t="n"/>
      <c r="D87" s="124" t="n"/>
      <c r="E87" s="258" t="n"/>
      <c r="F87" s="258" t="n"/>
      <c r="G87" s="125" t="n"/>
      <c r="H87" s="255" t="n"/>
      <c r="I87" s="255" t="n"/>
      <c r="J87" s="255" t="n"/>
      <c r="K87" s="124" t="n"/>
      <c r="L87" s="125" t="n"/>
      <c r="M87" s="255" t="n"/>
      <c r="N87" s="124" t="n"/>
      <c r="O87" s="124" t="n"/>
      <c r="P87" s="258" t="n"/>
    </row>
    <row r="88">
      <c r="A88" s="261" t="n"/>
      <c r="B88" s="258" t="n"/>
      <c r="C88" s="121" t="n"/>
      <c r="D88" s="122" t="n"/>
      <c r="E88" s="261" t="n"/>
      <c r="F88" s="261" t="n"/>
      <c r="G88" s="121" t="n"/>
      <c r="H88" s="287" t="n"/>
      <c r="I88" s="287" t="n"/>
      <c r="J88" s="287" t="n"/>
      <c r="K88" s="122" t="n"/>
      <c r="L88" s="121" t="n"/>
      <c r="M88" s="287" t="n"/>
      <c r="N88" s="122" t="n"/>
      <c r="O88" s="122" t="n"/>
      <c r="P88" s="261" t="n"/>
    </row>
    <row r="89">
      <c r="A89" s="261" t="n"/>
      <c r="B89" s="258" t="n"/>
      <c r="C89" s="121" t="n"/>
      <c r="D89" s="122" t="n"/>
      <c r="E89" s="261" t="n"/>
      <c r="F89" s="261" t="n"/>
      <c r="G89" s="121" t="n"/>
      <c r="H89" s="287" t="n"/>
      <c r="I89" s="287" t="n"/>
      <c r="J89" s="287" t="n"/>
      <c r="K89" s="122" t="n"/>
      <c r="L89" s="121" t="n"/>
      <c r="M89" s="287" t="n"/>
      <c r="N89" s="122" t="n"/>
      <c r="O89" s="122" t="n"/>
      <c r="P89" s="261" t="n"/>
    </row>
    <row r="90">
      <c r="A90" s="261" t="n"/>
      <c r="B90" s="258" t="n"/>
      <c r="C90" s="121" t="n"/>
      <c r="D90" s="124" t="n"/>
      <c r="E90" s="261" t="n"/>
      <c r="F90" s="261" t="n"/>
      <c r="G90" s="121" t="n"/>
      <c r="H90" s="287" t="n"/>
      <c r="I90" s="287" t="n"/>
      <c r="J90" s="287" t="n"/>
      <c r="K90" s="122" t="n"/>
      <c r="L90" s="121" t="n"/>
      <c r="M90" s="287" t="n"/>
      <c r="N90" s="122" t="n"/>
      <c r="O90" s="122" t="n"/>
      <c r="P90" s="261" t="n"/>
    </row>
    <row r="91">
      <c r="A91" s="258" t="n"/>
      <c r="B91" s="258" t="n"/>
      <c r="C91" s="121" t="n"/>
      <c r="D91" s="122" t="n"/>
      <c r="E91" s="261" t="n"/>
      <c r="F91" s="261" t="n"/>
      <c r="G91" s="121" t="n"/>
      <c r="H91" s="287" t="n"/>
      <c r="I91" s="287" t="n"/>
      <c r="J91" s="287" t="n"/>
      <c r="K91" s="122" t="n"/>
      <c r="L91" s="121" t="n"/>
      <c r="M91" s="287" t="n"/>
      <c r="N91" s="122" t="n"/>
      <c r="O91" s="122" t="n"/>
      <c r="P91" s="261" t="n"/>
    </row>
    <row r="92" customFormat="1" s="252">
      <c r="A92" s="258" t="n"/>
      <c r="B92" s="258" t="n"/>
      <c r="C92" s="121" t="n"/>
      <c r="D92" s="122" t="n"/>
      <c r="E92" s="261" t="n"/>
      <c r="F92" s="261" t="n"/>
      <c r="G92" s="121" t="n"/>
      <c r="H92" s="287" t="n"/>
      <c r="I92" s="287" t="n"/>
      <c r="J92" s="287" t="n"/>
      <c r="K92" s="122" t="n"/>
      <c r="L92" s="121" t="n"/>
      <c r="M92" s="287" t="n"/>
      <c r="N92" s="122" t="n"/>
      <c r="O92" s="122" t="n"/>
      <c r="P92" s="261" t="n"/>
      <c r="Q92" s="146" t="n"/>
      <c r="R92" s="146" t="n"/>
      <c r="S92" s="146" t="n"/>
      <c r="T92" s="146" t="n"/>
      <c r="U92" s="146" t="n"/>
      <c r="V92" s="146" t="n"/>
    </row>
    <row r="93">
      <c r="A93" s="258" t="n"/>
      <c r="B93" s="258" t="n"/>
      <c r="C93" s="125" t="n"/>
      <c r="D93" s="122" t="n"/>
      <c r="E93" s="258" t="n"/>
      <c r="F93" s="258" t="n"/>
      <c r="G93" s="125" t="n"/>
      <c r="H93" s="255" t="n"/>
      <c r="I93" s="255" t="n"/>
      <c r="J93" s="255" t="n"/>
      <c r="K93" s="124" t="n"/>
      <c r="L93" s="125" t="n"/>
      <c r="M93" s="255" t="n"/>
      <c r="N93" s="124" t="n"/>
      <c r="O93" s="124" t="n"/>
      <c r="P93" s="258" t="n"/>
    </row>
    <row r="94">
      <c r="A94" s="258" t="n"/>
      <c r="B94" s="258" t="n"/>
      <c r="C94" s="125" t="n"/>
      <c r="D94" s="124" t="n"/>
      <c r="E94" s="258" t="n"/>
      <c r="F94" s="258" t="n"/>
      <c r="G94" s="125" t="n"/>
      <c r="H94" s="255" t="n"/>
      <c r="I94" s="255" t="n"/>
      <c r="J94" s="255" t="n"/>
      <c r="K94" s="124" t="n"/>
      <c r="L94" s="125" t="n"/>
      <c r="M94" s="255" t="n"/>
      <c r="N94" s="124" t="n"/>
      <c r="O94" s="124" t="n"/>
      <c r="P94" s="258" t="n"/>
    </row>
    <row r="95">
      <c r="A95" s="261" t="n"/>
      <c r="B95" s="258" t="n"/>
      <c r="C95" s="121" t="n"/>
      <c r="D95" s="122" t="n"/>
      <c r="E95" s="261" t="n"/>
      <c r="F95" s="261" t="n"/>
      <c r="G95" s="121" t="n"/>
      <c r="H95" s="287" t="n"/>
      <c r="I95" s="287" t="n"/>
      <c r="J95" s="287" t="n"/>
      <c r="K95" s="122" t="n"/>
      <c r="L95" s="121" t="n"/>
      <c r="M95" s="287" t="n"/>
      <c r="N95" s="122" t="n"/>
      <c r="O95" s="122" t="n"/>
      <c r="P95" s="261" t="n"/>
    </row>
    <row r="96">
      <c r="A96" s="258" t="n"/>
      <c r="B96" s="258" t="n"/>
      <c r="C96" s="125" t="n"/>
      <c r="D96" s="124" t="n"/>
      <c r="E96" s="258" t="n"/>
      <c r="F96" s="258" t="n"/>
      <c r="G96" s="125" t="n"/>
      <c r="H96" s="255" t="n"/>
      <c r="I96" s="255" t="n"/>
      <c r="J96" s="255" t="n"/>
      <c r="K96" s="124" t="n"/>
      <c r="L96" s="125" t="n"/>
      <c r="M96" s="255" t="n"/>
      <c r="N96" s="124" t="n"/>
      <c r="O96" s="124" t="n"/>
      <c r="P96" s="258" t="n"/>
    </row>
    <row r="97">
      <c r="A97" s="258" t="n"/>
      <c r="B97" s="258" t="n"/>
      <c r="C97" s="125" t="n"/>
      <c r="D97" s="124" t="n"/>
      <c r="E97" s="258" t="n"/>
      <c r="F97" s="258" t="n"/>
      <c r="G97" s="125" t="n"/>
      <c r="H97" s="255" t="n"/>
      <c r="I97" s="255" t="n"/>
      <c r="J97" s="255" t="n"/>
      <c r="K97" s="124" t="n"/>
      <c r="L97" s="125" t="n"/>
      <c r="M97" s="255" t="n"/>
      <c r="N97" s="124" t="n"/>
      <c r="O97" s="124" t="n"/>
      <c r="P97" s="258" t="n"/>
    </row>
    <row r="98">
      <c r="A98" s="258" t="n"/>
      <c r="B98" s="258" t="n"/>
      <c r="C98" s="121" t="n"/>
      <c r="D98" s="124" t="n"/>
      <c r="E98" s="258" t="n"/>
      <c r="F98" s="258" t="n"/>
      <c r="G98" s="125" t="n"/>
      <c r="H98" s="255" t="n"/>
      <c r="I98" s="255" t="n"/>
      <c r="J98" s="255" t="n"/>
      <c r="K98" s="124" t="n"/>
      <c r="L98" s="125" t="n"/>
      <c r="M98" s="255" t="n"/>
      <c r="N98" s="124" t="n"/>
      <c r="O98" s="124" t="n"/>
      <c r="P98" s="258" t="n"/>
    </row>
    <row r="99">
      <c r="A99" s="262" t="n"/>
      <c r="B99" s="258" t="n"/>
      <c r="C99" s="164" t="n"/>
      <c r="D99" s="165" t="n"/>
      <c r="E99" s="251" t="n"/>
      <c r="F99" s="251" t="n"/>
      <c r="G99" s="164" t="n"/>
      <c r="H99" s="174" t="n"/>
      <c r="I99" s="174" t="n"/>
      <c r="J99" s="174" t="n"/>
      <c r="K99" s="165" t="n"/>
      <c r="L99" s="164" t="n"/>
      <c r="M99" s="174" t="n"/>
      <c r="N99" s="165" t="n"/>
      <c r="O99" s="165" t="n"/>
      <c r="P99" s="251" t="n"/>
    </row>
    <row r="100">
      <c r="A100" s="258" t="n"/>
      <c r="B100" s="258" t="n"/>
      <c r="C100" s="125" t="n"/>
      <c r="D100" s="122" t="n"/>
      <c r="E100" s="258" t="n"/>
      <c r="F100" s="258" t="n"/>
      <c r="G100" s="125" t="n"/>
      <c r="H100" s="255" t="n"/>
      <c r="I100" s="255" t="n"/>
      <c r="J100" s="255" t="n"/>
      <c r="K100" s="124" t="n"/>
      <c r="L100" s="125" t="n"/>
      <c r="M100" s="255" t="n"/>
      <c r="N100" s="124" t="n"/>
      <c r="O100" s="124" t="n"/>
      <c r="P100" s="258" t="n"/>
    </row>
    <row r="101">
      <c r="A101" s="262" t="n"/>
      <c r="B101" s="258" t="n"/>
      <c r="C101" s="263" t="n"/>
      <c r="D101" s="264" t="n"/>
      <c r="E101" s="262" t="n"/>
      <c r="F101" s="262" t="n"/>
      <c r="G101" s="263" t="n"/>
      <c r="H101" s="175" t="n"/>
      <c r="I101" s="175" t="n"/>
      <c r="J101" s="175" t="n"/>
      <c r="K101" s="264" t="n"/>
      <c r="L101" s="263" t="n"/>
      <c r="M101" s="175" t="n"/>
      <c r="N101" s="264" t="n"/>
      <c r="O101" s="264" t="n"/>
      <c r="P101" s="262" t="n"/>
    </row>
    <row r="102">
      <c r="A102" s="258" t="n"/>
      <c r="B102" s="258" t="n"/>
      <c r="C102" s="125" t="n"/>
      <c r="D102" s="124" t="n"/>
      <c r="E102" s="258" t="n"/>
      <c r="F102" s="258" t="n"/>
      <c r="G102" s="125" t="n"/>
      <c r="H102" s="255" t="n"/>
      <c r="I102" s="255" t="n"/>
      <c r="J102" s="255" t="n"/>
      <c r="K102" s="124" t="n"/>
      <c r="L102" s="125" t="n"/>
      <c r="M102" s="255" t="n"/>
      <c r="N102" s="124" t="n"/>
      <c r="O102" s="124" t="n"/>
      <c r="P102" s="258" t="n"/>
    </row>
    <row r="103">
      <c r="A103" s="261" t="n"/>
      <c r="B103" s="258" t="n"/>
      <c r="C103" s="121" t="n"/>
      <c r="D103" s="122" t="n"/>
      <c r="E103" s="261" t="n"/>
      <c r="F103" s="261" t="n"/>
      <c r="G103" s="121" t="n"/>
      <c r="H103" s="287" t="n"/>
      <c r="I103" s="287" t="n"/>
      <c r="J103" s="287" t="n"/>
      <c r="K103" s="122" t="n"/>
      <c r="L103" s="121" t="n"/>
      <c r="M103" s="287" t="n"/>
      <c r="N103" s="122" t="n"/>
      <c r="O103" s="122" t="n"/>
      <c r="P103" s="261" t="n"/>
    </row>
    <row r="104">
      <c r="A104" s="262" t="n"/>
      <c r="B104" s="258" t="n"/>
      <c r="C104" s="164" t="n"/>
      <c r="D104" s="165" t="n"/>
      <c r="E104" s="251" t="n"/>
      <c r="F104" s="251" t="n"/>
      <c r="G104" s="164" t="n"/>
      <c r="H104" s="174" t="n"/>
      <c r="I104" s="174" t="n"/>
      <c r="J104" s="174" t="n"/>
      <c r="K104" s="165" t="n"/>
      <c r="L104" s="164" t="n"/>
      <c r="M104" s="174" t="n"/>
      <c r="N104" s="165" t="n"/>
      <c r="O104" s="165" t="n"/>
      <c r="P104" s="251" t="n"/>
    </row>
    <row r="105">
      <c r="A105" s="258" t="n"/>
      <c r="B105" s="258" t="n"/>
      <c r="C105" s="121" t="n"/>
      <c r="D105" s="122" t="n"/>
      <c r="E105" s="261" t="n"/>
      <c r="F105" s="261" t="n"/>
      <c r="G105" s="121" t="n"/>
      <c r="H105" s="287" t="n"/>
      <c r="I105" s="287" t="n"/>
      <c r="J105" s="287" t="n"/>
      <c r="K105" s="122" t="n"/>
      <c r="L105" s="121" t="n"/>
      <c r="M105" s="287" t="n"/>
      <c r="N105" s="122" t="n"/>
      <c r="O105" s="122" t="n"/>
      <c r="P105" s="261" t="n"/>
    </row>
    <row r="106">
      <c r="A106" s="261" t="n"/>
      <c r="B106" s="258" t="n"/>
      <c r="C106" s="121" t="n"/>
      <c r="D106" s="122" t="n"/>
      <c r="E106" s="261" t="n"/>
      <c r="F106" s="261" t="n"/>
      <c r="G106" s="121" t="n"/>
      <c r="H106" s="287" t="n"/>
      <c r="I106" s="287" t="n"/>
      <c r="J106" s="287" t="n"/>
      <c r="K106" s="122" t="n"/>
      <c r="L106" s="121" t="n"/>
      <c r="M106" s="287" t="n"/>
      <c r="N106" s="122" t="n"/>
      <c r="O106" s="122" t="n"/>
      <c r="P106" s="261" t="n"/>
    </row>
    <row r="107">
      <c r="A107" s="262" t="n"/>
      <c r="B107" s="258" t="n"/>
      <c r="C107" s="263" t="n"/>
      <c r="D107" s="264" t="n"/>
      <c r="E107" s="262" t="n"/>
      <c r="F107" s="262" t="n"/>
      <c r="G107" s="263" t="n"/>
      <c r="H107" s="175" t="n"/>
      <c r="I107" s="175" t="n"/>
      <c r="J107" s="175" t="n"/>
      <c r="K107" s="264" t="n"/>
      <c r="L107" s="263" t="n"/>
      <c r="M107" s="175" t="n"/>
      <c r="N107" s="264" t="n"/>
      <c r="O107" s="264" t="n"/>
      <c r="P107" s="262" t="n"/>
    </row>
    <row r="108">
      <c r="A108" s="258" t="n"/>
      <c r="B108" s="258" t="n"/>
      <c r="C108" s="125" t="n"/>
      <c r="D108" s="124" t="n"/>
      <c r="E108" s="258" t="n"/>
      <c r="F108" s="258" t="n"/>
      <c r="G108" s="125" t="n"/>
      <c r="H108" s="255" t="n"/>
      <c r="I108" s="255" t="n"/>
      <c r="J108" s="255" t="n"/>
      <c r="K108" s="124" t="n"/>
      <c r="L108" s="125" t="n"/>
      <c r="M108" s="255" t="n"/>
      <c r="N108" s="124" t="n"/>
      <c r="O108" s="124" t="n"/>
      <c r="P108" s="258" t="n"/>
      <c r="Q108" s="127" t="n"/>
      <c r="R108" s="127" t="n"/>
      <c r="S108" s="127" t="n"/>
      <c r="T108" s="127" t="n"/>
      <c r="U108" s="127" t="n"/>
      <c r="V108" s="127" t="n"/>
    </row>
    <row r="109" customFormat="1" s="252">
      <c r="A109" s="261" t="n"/>
      <c r="B109" s="258" t="n"/>
      <c r="C109" s="121" t="n"/>
      <c r="D109" s="122" t="n"/>
      <c r="E109" s="261" t="n"/>
      <c r="F109" s="261" t="n"/>
      <c r="G109" s="121" t="n"/>
      <c r="H109" s="287" t="n"/>
      <c r="I109" s="287" t="n"/>
      <c r="J109" s="287" t="n"/>
      <c r="K109" s="122" t="n"/>
      <c r="L109" s="121" t="n"/>
      <c r="M109" s="287" t="n"/>
      <c r="N109" s="122" t="n"/>
      <c r="O109" s="122" t="n"/>
      <c r="P109" s="261" t="n"/>
      <c r="Q109" s="146" t="n"/>
      <c r="R109" s="146" t="n"/>
      <c r="S109" s="146" t="n"/>
      <c r="T109" s="146" t="n"/>
      <c r="U109" s="146" t="n"/>
      <c r="V109" s="146" t="n"/>
    </row>
    <row r="110">
      <c r="A110" s="261" t="n"/>
      <c r="B110" s="258" t="n"/>
      <c r="C110" s="121" t="n"/>
      <c r="D110" s="122" t="n"/>
      <c r="E110" s="261" t="n"/>
      <c r="F110" s="261" t="n"/>
      <c r="G110" s="121" t="n"/>
      <c r="H110" s="287" t="n"/>
      <c r="I110" s="287" t="n"/>
      <c r="J110" s="287" t="n"/>
      <c r="K110" s="122" t="n"/>
      <c r="L110" s="121" t="n"/>
      <c r="M110" s="287" t="n"/>
      <c r="N110" s="122" t="n"/>
      <c r="O110" s="122" t="n"/>
      <c r="P110" s="261" t="n"/>
    </row>
    <row r="111">
      <c r="A111" s="258" t="n"/>
      <c r="B111" s="258" t="n"/>
      <c r="C111" s="125" t="n"/>
      <c r="D111" s="124" t="n"/>
      <c r="E111" s="258" t="n"/>
      <c r="F111" s="258" t="n"/>
      <c r="G111" s="125" t="n"/>
      <c r="H111" s="255" t="n"/>
      <c r="I111" s="255" t="n"/>
      <c r="J111" s="255" t="n"/>
      <c r="K111" s="124" t="n"/>
      <c r="L111" s="125" t="n"/>
      <c r="M111" s="255" t="n"/>
      <c r="N111" s="124" t="n"/>
      <c r="O111" s="124" t="n"/>
      <c r="P111" s="258" t="n"/>
    </row>
    <row r="112">
      <c r="A112" s="258" t="n"/>
      <c r="B112" s="258" t="n"/>
      <c r="C112" s="121" t="n"/>
      <c r="D112" s="124" t="n"/>
      <c r="E112" s="261" t="n"/>
      <c r="F112" s="261" t="n"/>
      <c r="G112" s="121" t="n"/>
      <c r="H112" s="287" t="n"/>
      <c r="I112" s="287" t="n"/>
      <c r="J112" s="287" t="n"/>
      <c r="K112" s="122" t="n"/>
      <c r="L112" s="121" t="n"/>
      <c r="M112" s="287" t="n"/>
      <c r="N112" s="122" t="n"/>
      <c r="O112" s="122" t="n"/>
      <c r="P112" s="261" t="n"/>
    </row>
    <row r="113">
      <c r="A113" s="258" t="n"/>
      <c r="B113" s="258" t="n"/>
      <c r="C113" s="125" t="n"/>
      <c r="D113" s="125" t="n"/>
      <c r="E113" s="258" t="n"/>
      <c r="F113" s="125" t="n"/>
      <c r="G113" s="125" t="n"/>
      <c r="H113" s="255" t="n"/>
      <c r="I113" s="255" t="n"/>
      <c r="J113" s="255" t="n"/>
      <c r="K113" s="124" t="n"/>
      <c r="L113" s="125" t="n"/>
      <c r="M113" s="255" t="n"/>
      <c r="N113" s="125" t="n"/>
      <c r="O113" s="124" t="n"/>
      <c r="P113" s="258" t="n"/>
    </row>
    <row r="114">
      <c r="A114" s="261" t="n"/>
      <c r="B114" s="258" t="n"/>
      <c r="C114" s="121" t="n"/>
      <c r="D114" s="122" t="n"/>
      <c r="E114" s="261" t="n"/>
      <c r="F114" s="261" t="n"/>
      <c r="G114" s="121" t="n"/>
      <c r="H114" s="287" t="n"/>
      <c r="I114" s="287" t="n"/>
      <c r="J114" s="287" t="n"/>
      <c r="K114" s="122" t="n"/>
      <c r="L114" s="121" t="n"/>
      <c r="M114" s="287" t="n"/>
      <c r="N114" s="122" t="n"/>
      <c r="O114" s="122" t="n"/>
      <c r="P114" s="261" t="n"/>
    </row>
    <row r="115">
      <c r="A115" s="258" t="n"/>
      <c r="B115" s="258" t="n"/>
      <c r="C115" s="121" t="n"/>
      <c r="D115" s="122" t="n"/>
      <c r="E115" s="261" t="n"/>
      <c r="F115" s="261" t="n"/>
      <c r="G115" s="121" t="n"/>
      <c r="H115" s="287" t="n"/>
      <c r="I115" s="287" t="n"/>
      <c r="J115" s="287" t="n"/>
      <c r="K115" s="122" t="n"/>
      <c r="L115" s="121" t="n"/>
      <c r="M115" s="287" t="n"/>
      <c r="N115" s="122" t="n"/>
      <c r="O115" s="122" t="n"/>
      <c r="P115" s="261" t="n"/>
    </row>
    <row r="116">
      <c r="A116" s="251" t="n"/>
      <c r="B116" s="258" t="n"/>
      <c r="C116" s="164" t="n"/>
      <c r="D116" s="165" t="n"/>
      <c r="E116" s="251" t="n"/>
      <c r="F116" s="251" t="n"/>
      <c r="G116" s="164" t="n"/>
      <c r="H116" s="174" t="n"/>
      <c r="I116" s="174" t="n"/>
      <c r="J116" s="174" t="n"/>
      <c r="K116" s="165" t="n"/>
      <c r="L116" s="164" t="n"/>
      <c r="M116" s="174" t="n"/>
      <c r="N116" s="165" t="n"/>
      <c r="O116" s="165" t="n"/>
      <c r="P116" s="251" t="n"/>
    </row>
    <row r="117">
      <c r="A117" s="258" t="n"/>
      <c r="B117" s="258" t="n"/>
      <c r="C117" s="125" t="n"/>
      <c r="D117" s="124" t="n"/>
      <c r="E117" s="258" t="n"/>
      <c r="F117" s="258" t="n"/>
      <c r="G117" s="125" t="n"/>
      <c r="H117" s="255" t="n"/>
      <c r="I117" s="255" t="n"/>
      <c r="J117" s="255" t="n"/>
      <c r="K117" s="124" t="n"/>
      <c r="L117" s="125" t="n"/>
      <c r="M117" s="255" t="n"/>
      <c r="N117" s="124" t="n"/>
      <c r="O117" s="124" t="n"/>
      <c r="P117" s="258" t="n"/>
    </row>
    <row r="118">
      <c r="A118" s="258" t="n"/>
      <c r="B118" s="258" t="n"/>
      <c r="C118" s="125" t="n"/>
      <c r="D118" s="125" t="n"/>
      <c r="E118" s="258" t="n"/>
      <c r="F118" s="258" t="n"/>
      <c r="G118" s="125" t="n"/>
      <c r="H118" s="255" t="n"/>
      <c r="I118" s="255" t="n"/>
      <c r="J118" s="255" t="n"/>
      <c r="K118" s="124" t="n"/>
      <c r="L118" s="125" t="n"/>
      <c r="M118" s="255" t="n"/>
      <c r="N118" s="125" t="n"/>
      <c r="O118" s="124" t="n"/>
      <c r="P118" s="258" t="n"/>
    </row>
    <row r="119">
      <c r="A119" s="258" t="n"/>
      <c r="B119" s="258" t="n"/>
      <c r="C119" s="125" t="n"/>
      <c r="D119" s="124" t="n"/>
      <c r="E119" s="258" t="n"/>
      <c r="F119" s="258" t="n"/>
      <c r="G119" s="125" t="n"/>
      <c r="H119" s="255" t="n"/>
      <c r="I119" s="255" t="n"/>
      <c r="J119" s="255" t="n"/>
      <c r="K119" s="124" t="n"/>
      <c r="L119" s="125" t="n"/>
      <c r="M119" s="255" t="n"/>
      <c r="N119" s="124" t="n"/>
      <c r="O119" s="124" t="n"/>
      <c r="P119" s="258" t="n"/>
    </row>
    <row r="120">
      <c r="A120" s="258" t="n"/>
      <c r="B120" s="258" t="n"/>
      <c r="C120" s="121" t="n"/>
      <c r="D120" s="122" t="n"/>
      <c r="E120" s="261" t="n"/>
      <c r="F120" s="261" t="n"/>
      <c r="G120" s="121" t="n"/>
      <c r="H120" s="287" t="n"/>
      <c r="I120" s="287" t="n"/>
      <c r="J120" s="287" t="n"/>
      <c r="K120" s="122" t="n"/>
      <c r="L120" s="121" t="n"/>
      <c r="M120" s="287" t="n"/>
      <c r="N120" s="122" t="n"/>
      <c r="O120" s="122" t="n"/>
      <c r="P120" s="261" t="n"/>
    </row>
    <row r="121">
      <c r="A121" s="258" t="n"/>
      <c r="B121" s="258" t="n"/>
      <c r="C121" s="125" t="n"/>
      <c r="D121" s="124" t="n"/>
      <c r="E121" s="261" t="n"/>
      <c r="F121" s="258" t="n"/>
      <c r="G121" s="125" t="n"/>
      <c r="H121" s="255" t="n"/>
      <c r="I121" s="255" t="n"/>
      <c r="J121" s="255" t="n"/>
      <c r="K121" s="124" t="n"/>
      <c r="L121" s="125" t="n"/>
      <c r="M121" s="255" t="n"/>
      <c r="N121" s="124" t="n"/>
      <c r="O121" s="124" t="n"/>
      <c r="P121" s="258" t="n"/>
    </row>
    <row r="122">
      <c r="A122" s="258" t="n"/>
      <c r="B122" s="258" t="n"/>
      <c r="C122" s="125" t="n"/>
      <c r="D122" s="124" t="n"/>
      <c r="E122" s="258" t="n"/>
      <c r="F122" s="258" t="n"/>
      <c r="G122" s="125" t="n"/>
      <c r="H122" s="255" t="n"/>
      <c r="I122" s="255" t="n"/>
      <c r="J122" s="255" t="n"/>
      <c r="K122" s="124" t="n"/>
      <c r="L122" s="125" t="n"/>
      <c r="M122" s="255" t="n"/>
      <c r="N122" s="124" t="n"/>
      <c r="O122" s="124" t="n"/>
      <c r="P122" s="258" t="n"/>
    </row>
    <row r="123">
      <c r="A123" s="261" t="n"/>
      <c r="B123" s="258" t="n"/>
      <c r="C123" s="121" t="n"/>
      <c r="D123" s="122" t="n"/>
      <c r="E123" s="261" t="n"/>
      <c r="F123" s="261" t="n"/>
      <c r="G123" s="121" t="n"/>
      <c r="H123" s="287" t="n"/>
      <c r="I123" s="287" t="n"/>
      <c r="J123" s="287" t="n"/>
      <c r="K123" s="122" t="n"/>
      <c r="L123" s="121" t="n"/>
      <c r="M123" s="287" t="n"/>
      <c r="N123" s="122" t="n"/>
      <c r="O123" s="122" t="n"/>
      <c r="P123" s="261" t="n"/>
    </row>
    <row r="124">
      <c r="A124" s="261" t="n"/>
      <c r="B124" s="258" t="n"/>
      <c r="C124" s="121" t="n"/>
      <c r="D124" s="122" t="n"/>
      <c r="E124" s="261" t="n"/>
      <c r="F124" s="261" t="n"/>
      <c r="G124" s="121" t="n"/>
      <c r="H124" s="287" t="n"/>
      <c r="I124" s="287" t="n"/>
      <c r="J124" s="287" t="n"/>
      <c r="K124" s="122" t="n"/>
      <c r="L124" s="121" t="n"/>
      <c r="M124" s="287" t="n"/>
      <c r="N124" s="122" t="n"/>
      <c r="O124" s="122" t="n"/>
      <c r="P124" s="261" t="n"/>
    </row>
    <row r="125">
      <c r="A125" s="262" t="n"/>
      <c r="B125" s="258" t="n"/>
      <c r="C125" s="164" t="n"/>
      <c r="D125" s="165" t="n"/>
      <c r="E125" s="251" t="n"/>
      <c r="F125" s="251" t="n"/>
      <c r="G125" s="164" t="n"/>
      <c r="H125" s="174" t="n"/>
      <c r="I125" s="174" t="n"/>
      <c r="J125" s="174" t="n"/>
      <c r="K125" s="165" t="n"/>
      <c r="L125" s="164" t="n"/>
      <c r="M125" s="174" t="n"/>
      <c r="N125" s="165" t="n"/>
      <c r="O125" s="165" t="n"/>
      <c r="P125" s="251" t="n"/>
    </row>
    <row r="126">
      <c r="A126" s="258" t="n"/>
      <c r="B126" s="258" t="n"/>
      <c r="C126" s="121" t="n"/>
      <c r="D126" s="122" t="n"/>
      <c r="E126" s="261" t="n"/>
      <c r="F126" s="261" t="n"/>
      <c r="G126" s="121" t="n"/>
      <c r="H126" s="287" t="n"/>
      <c r="I126" s="287" t="n"/>
      <c r="J126" s="287" t="n"/>
      <c r="K126" s="122" t="n"/>
      <c r="L126" s="121" t="n"/>
      <c r="M126" s="287" t="n"/>
      <c r="N126" s="122" t="n"/>
      <c r="O126" s="122" t="n"/>
      <c r="P126" s="261" t="n"/>
      <c r="Q126" s="256" t="n"/>
      <c r="R126" s="256" t="n"/>
      <c r="S126" s="256" t="n"/>
      <c r="T126" s="256" t="n"/>
      <c r="U126" s="256" t="n"/>
      <c r="V126" s="256" t="n"/>
    </row>
    <row r="127">
      <c r="A127" s="258" t="n"/>
      <c r="B127" s="258" t="n"/>
      <c r="C127" s="125" t="n"/>
      <c r="D127" s="124" t="n"/>
      <c r="E127" s="258" t="n"/>
      <c r="F127" s="258" t="n"/>
      <c r="G127" s="125" t="n"/>
      <c r="H127" s="255" t="n"/>
      <c r="I127" s="255" t="n"/>
      <c r="J127" s="255" t="n"/>
      <c r="K127" s="124" t="n"/>
      <c r="L127" s="125" t="n"/>
      <c r="M127" s="255" t="n"/>
      <c r="N127" s="124" t="n"/>
      <c r="O127" s="124" t="n"/>
      <c r="P127" s="258" t="n"/>
    </row>
    <row r="128">
      <c r="A128" s="261" t="n"/>
      <c r="B128" s="258" t="n"/>
      <c r="C128" s="121" t="n"/>
      <c r="D128" s="122" t="n"/>
      <c r="E128" s="261" t="n"/>
      <c r="F128" s="261" t="n"/>
      <c r="G128" s="121" t="n"/>
      <c r="H128" s="287" t="n"/>
      <c r="I128" s="287" t="n"/>
      <c r="J128" s="287" t="n"/>
      <c r="K128" s="122" t="n"/>
      <c r="L128" s="121" t="n"/>
      <c r="M128" s="287" t="n"/>
      <c r="N128" s="122" t="n"/>
      <c r="O128" s="122" t="n"/>
      <c r="P128" s="261" t="n"/>
    </row>
    <row r="129">
      <c r="A129" s="258" t="n"/>
      <c r="B129" s="258" t="n"/>
      <c r="C129" s="125" t="n"/>
      <c r="D129" s="124" t="n"/>
      <c r="E129" s="258" t="n"/>
      <c r="F129" s="258" t="n"/>
      <c r="G129" s="125" t="n"/>
      <c r="H129" s="255" t="n"/>
      <c r="I129" s="255" t="n"/>
      <c r="J129" s="255" t="n"/>
      <c r="K129" s="124" t="n"/>
      <c r="L129" s="125" t="n"/>
      <c r="M129" s="255" t="n"/>
      <c r="N129" s="124" t="n"/>
      <c r="O129" s="124" t="n"/>
      <c r="P129" s="258" t="n"/>
    </row>
    <row r="130">
      <c r="A130" s="258" t="n"/>
      <c r="B130" s="258" t="n"/>
      <c r="C130" s="125" t="n"/>
      <c r="D130" s="124" t="n"/>
      <c r="E130" s="258" t="n"/>
      <c r="F130" s="258" t="n"/>
      <c r="G130" s="125" t="n"/>
      <c r="H130" s="255" t="n"/>
      <c r="I130" s="255" t="n"/>
      <c r="J130" s="255" t="n"/>
      <c r="K130" s="124" t="n"/>
      <c r="L130" s="125" t="n"/>
      <c r="M130" s="255" t="n"/>
      <c r="N130" s="124" t="n"/>
      <c r="O130" s="124" t="n"/>
      <c r="P130" s="258" t="n"/>
    </row>
    <row r="131">
      <c r="A131" s="258" t="n"/>
      <c r="B131" s="258" t="n"/>
      <c r="C131" s="125" t="n"/>
      <c r="D131" s="124" t="n"/>
      <c r="E131" s="258" t="n"/>
      <c r="F131" s="258" t="n"/>
      <c r="G131" s="125" t="n"/>
      <c r="H131" s="255" t="n"/>
      <c r="I131" s="255" t="n"/>
      <c r="J131" s="255" t="n"/>
      <c r="K131" s="124" t="n"/>
      <c r="L131" s="125" t="n"/>
      <c r="M131" s="255" t="n"/>
      <c r="N131" s="124" t="n"/>
      <c r="O131" s="124" t="n"/>
      <c r="P131" s="258" t="n"/>
    </row>
    <row r="132">
      <c r="A132" s="258" t="n"/>
      <c r="B132" s="258" t="n"/>
      <c r="C132" s="125" t="n"/>
      <c r="D132" s="124" t="n"/>
      <c r="E132" s="258" t="n"/>
      <c r="F132" s="258" t="n"/>
      <c r="G132" s="125" t="n"/>
      <c r="H132" s="255" t="n"/>
      <c r="I132" s="255" t="n"/>
      <c r="J132" s="255" t="n"/>
      <c r="K132" s="124" t="n"/>
      <c r="L132" s="125" t="n"/>
      <c r="M132" s="255" t="n"/>
      <c r="N132" s="124" t="n"/>
      <c r="O132" s="124" t="n"/>
      <c r="P132" s="258" t="n"/>
      <c r="Q132" s="252" t="n"/>
      <c r="R132" s="252" t="n"/>
      <c r="S132" s="252" t="n"/>
      <c r="T132" s="252" t="n"/>
      <c r="U132" s="252" t="n"/>
      <c r="V132" s="252" t="n"/>
    </row>
    <row r="133">
      <c r="A133" s="258" t="n"/>
      <c r="B133" s="258" t="n"/>
      <c r="C133" s="121" t="n"/>
      <c r="D133" s="122" t="n"/>
      <c r="E133" s="261" t="n"/>
      <c r="F133" s="261" t="n"/>
      <c r="G133" s="121" t="n"/>
      <c r="H133" s="287" t="n"/>
      <c r="I133" s="287" t="n"/>
      <c r="J133" s="287" t="n"/>
      <c r="K133" s="122" t="n"/>
      <c r="L133" s="121" t="n"/>
      <c r="M133" s="287" t="n"/>
      <c r="N133" s="122" t="n"/>
      <c r="O133" s="122" t="n"/>
      <c r="P133" s="261" t="n"/>
    </row>
    <row r="134">
      <c r="A134" s="258" t="n"/>
      <c r="B134" s="258" t="n"/>
      <c r="C134" s="147" t="n"/>
      <c r="D134" s="124" t="n"/>
      <c r="E134" s="258" t="n"/>
      <c r="F134" s="258" t="n"/>
      <c r="G134" s="125" t="n"/>
      <c r="H134" s="255" t="n"/>
      <c r="I134" s="255" t="n"/>
      <c r="J134" s="255" t="n"/>
      <c r="K134" s="124" t="n"/>
      <c r="L134" s="124" t="n"/>
      <c r="M134" s="255" t="n"/>
      <c r="N134" s="124" t="n"/>
      <c r="O134" s="124" t="n"/>
      <c r="P134" s="258" t="n"/>
    </row>
    <row r="135">
      <c r="A135" s="258" t="n"/>
      <c r="B135" s="258" t="n"/>
      <c r="C135" s="125" t="n"/>
      <c r="D135" s="124" t="n"/>
      <c r="E135" s="258" t="n"/>
      <c r="F135" s="258" t="n"/>
      <c r="G135" s="125" t="n"/>
      <c r="H135" s="255" t="n"/>
      <c r="I135" s="255" t="n"/>
      <c r="J135" s="255" t="n"/>
      <c r="K135" s="124" t="n"/>
      <c r="L135" s="125" t="n"/>
      <c r="M135" s="255" t="n"/>
      <c r="N135" s="124" t="n"/>
      <c r="O135" s="124" t="n"/>
      <c r="P135" s="258" t="n"/>
      <c r="Q135" s="252" t="n"/>
      <c r="R135" s="252" t="n"/>
      <c r="S135" s="252" t="n"/>
      <c r="T135" s="252" t="n"/>
      <c r="U135" s="252" t="n"/>
      <c r="V135" s="252" t="n"/>
    </row>
    <row r="136">
      <c r="A136" s="258" t="n"/>
      <c r="B136" s="258" t="n"/>
      <c r="C136" s="125" t="n"/>
      <c r="D136" s="124" t="n"/>
      <c r="E136" s="258" t="n"/>
      <c r="F136" s="258" t="n"/>
      <c r="G136" s="125" t="n"/>
      <c r="H136" s="255" t="n"/>
      <c r="I136" s="255" t="n"/>
      <c r="J136" s="255" t="n"/>
      <c r="K136" s="124" t="n"/>
      <c r="L136" s="125" t="n"/>
      <c r="M136" s="255" t="n"/>
      <c r="N136" s="124" t="n"/>
      <c r="O136" s="124" t="n"/>
      <c r="P136" s="258" t="n"/>
    </row>
    <row r="137">
      <c r="A137" s="262" t="n"/>
      <c r="B137" s="258" t="n"/>
      <c r="C137" s="257" t="n"/>
      <c r="D137" s="264" t="n"/>
      <c r="E137" s="262" t="n"/>
      <c r="F137" s="262" t="n"/>
      <c r="G137" s="263" t="n"/>
      <c r="H137" s="175" t="n"/>
      <c r="I137" s="175" t="n"/>
      <c r="J137" s="175" t="n"/>
      <c r="K137" s="264" t="n"/>
      <c r="L137" s="263" t="n"/>
      <c r="M137" s="175" t="n"/>
      <c r="N137" s="264" t="n"/>
      <c r="O137" s="264" t="n"/>
      <c r="P137" s="262" t="n"/>
    </row>
    <row r="138">
      <c r="A138" s="258" t="n"/>
      <c r="B138" s="258" t="n"/>
      <c r="C138" s="125" t="n"/>
      <c r="D138" s="124" t="n"/>
      <c r="E138" s="258" t="n"/>
      <c r="F138" s="258" t="n"/>
      <c r="G138" s="125" t="n"/>
      <c r="H138" s="255" t="n"/>
      <c r="I138" s="255" t="n"/>
      <c r="J138" s="255" t="n"/>
      <c r="K138" s="124" t="n"/>
      <c r="L138" s="125" t="n"/>
      <c r="M138" s="255" t="n"/>
      <c r="N138" s="124" t="n"/>
      <c r="O138" s="124" t="n"/>
      <c r="P138" s="258" t="n"/>
    </row>
    <row r="139">
      <c r="A139" s="258" t="n"/>
      <c r="B139" s="258" t="n"/>
      <c r="C139" s="125" t="n"/>
      <c r="D139" s="122" t="n"/>
      <c r="E139" s="261" t="n"/>
      <c r="F139" s="261" t="n"/>
      <c r="G139" s="121" t="n"/>
      <c r="H139" s="287" t="n"/>
      <c r="I139" s="287" t="n"/>
      <c r="J139" s="287" t="n"/>
      <c r="K139" s="122" t="n"/>
      <c r="L139" s="121" t="n"/>
      <c r="M139" s="287" t="n"/>
      <c r="N139" s="122" t="n"/>
      <c r="O139" s="122" t="n"/>
      <c r="P139" s="261" t="n"/>
    </row>
    <row r="140">
      <c r="A140" s="261" t="n"/>
      <c r="B140" s="258" t="n"/>
      <c r="C140" s="121" t="n"/>
      <c r="D140" s="122" t="n"/>
      <c r="E140" s="261" t="n"/>
      <c r="F140" s="261" t="n"/>
      <c r="G140" s="121" t="n"/>
      <c r="H140" s="287" t="n"/>
      <c r="I140" s="287" t="n"/>
      <c r="J140" s="287" t="n"/>
      <c r="K140" s="122" t="n"/>
      <c r="L140" s="121" t="n"/>
      <c r="M140" s="287" t="n"/>
      <c r="N140" s="122" t="n"/>
      <c r="O140" s="122" t="n"/>
      <c r="P140" s="261" t="n"/>
    </row>
    <row r="141">
      <c r="A141" s="261" t="n"/>
      <c r="B141" s="258" t="n"/>
      <c r="C141" s="121" t="n"/>
      <c r="D141" s="122" t="n"/>
      <c r="E141" s="261" t="n"/>
      <c r="F141" s="261" t="n"/>
      <c r="G141" s="121" t="n"/>
      <c r="H141" s="287" t="n"/>
      <c r="I141" s="287" t="n"/>
      <c r="J141" s="287" t="n"/>
      <c r="K141" s="122" t="n"/>
      <c r="L141" s="121" t="n"/>
      <c r="M141" s="287" t="n"/>
      <c r="N141" s="122" t="n"/>
      <c r="O141" s="122" t="n"/>
      <c r="P141" s="261" t="n"/>
    </row>
    <row r="142" customFormat="1" s="127">
      <c r="A142" s="261" t="n"/>
      <c r="B142" s="258" t="n"/>
      <c r="C142" s="121" t="n"/>
      <c r="D142" s="122" t="n"/>
      <c r="E142" s="261" t="n"/>
      <c r="F142" s="261" t="n"/>
      <c r="G142" s="121" t="n"/>
      <c r="H142" s="287" t="n"/>
      <c r="I142" s="287" t="n"/>
      <c r="J142" s="287" t="n"/>
      <c r="K142" s="122" t="n"/>
      <c r="L142" s="121" t="n"/>
      <c r="M142" s="287" t="n"/>
      <c r="N142" s="122" t="n"/>
      <c r="O142" s="122" t="n"/>
      <c r="P142" s="261" t="n"/>
      <c r="Q142" s="146" t="n"/>
      <c r="R142" s="146" t="n"/>
      <c r="S142" s="146" t="n"/>
      <c r="T142" s="146" t="n"/>
      <c r="U142" s="146" t="n"/>
      <c r="V142" s="146" t="n"/>
    </row>
    <row r="143">
      <c r="A143" s="261" t="n"/>
      <c r="B143" s="258" t="n"/>
      <c r="C143" s="121" t="n"/>
      <c r="D143" s="122" t="n"/>
      <c r="E143" s="261" t="n"/>
      <c r="F143" s="261" t="n"/>
      <c r="G143" s="121" t="n"/>
      <c r="H143" s="287" t="n"/>
      <c r="I143" s="287" t="n"/>
      <c r="J143" s="287" t="n"/>
      <c r="K143" s="122" t="n"/>
      <c r="L143" s="121" t="n"/>
      <c r="M143" s="287" t="n"/>
      <c r="N143" s="122" t="n"/>
      <c r="O143" s="122" t="n"/>
      <c r="P143" s="261" t="n"/>
    </row>
    <row r="144">
      <c r="A144" s="258" t="n"/>
      <c r="B144" s="258" t="n"/>
      <c r="C144" s="125" t="n"/>
      <c r="D144" s="124" t="n"/>
      <c r="E144" s="258" t="n"/>
      <c r="F144" s="258" t="n"/>
      <c r="G144" s="125" t="n"/>
      <c r="H144" s="255" t="n"/>
      <c r="I144" s="255" t="n"/>
      <c r="J144" s="255" t="n"/>
      <c r="K144" s="124" t="n"/>
      <c r="L144" s="125" t="n"/>
      <c r="M144" s="255" t="n"/>
      <c r="N144" s="124" t="n"/>
      <c r="O144" s="124" t="n"/>
      <c r="P144" s="258" t="n"/>
    </row>
    <row r="145">
      <c r="A145" s="261" t="n"/>
      <c r="B145" s="258" t="n"/>
      <c r="C145" s="121" t="n"/>
      <c r="D145" s="122" t="n"/>
      <c r="E145" s="261" t="n"/>
      <c r="F145" s="261" t="n"/>
      <c r="G145" s="121" t="n"/>
      <c r="H145" s="287" t="n"/>
      <c r="I145" s="287" t="n"/>
      <c r="J145" s="287" t="n"/>
      <c r="K145" s="122" t="n"/>
      <c r="L145" s="121" t="n"/>
      <c r="M145" s="287" t="n"/>
      <c r="N145" s="122" t="n"/>
      <c r="O145" s="122" t="n"/>
      <c r="P145" s="261" t="n"/>
    </row>
    <row r="146">
      <c r="A146" s="258" t="n"/>
      <c r="B146" s="258" t="n"/>
      <c r="C146" s="121" t="n"/>
      <c r="D146" s="122" t="n"/>
      <c r="E146" s="261" t="n"/>
      <c r="F146" s="261" t="n"/>
      <c r="G146" s="121" t="n"/>
      <c r="H146" s="287" t="n"/>
      <c r="I146" s="287" t="n"/>
      <c r="J146" s="287" t="n"/>
      <c r="K146" s="122" t="n"/>
      <c r="L146" s="121" t="n"/>
      <c r="M146" s="287" t="n"/>
      <c r="N146" s="122" t="n"/>
      <c r="O146" s="122" t="n"/>
      <c r="P146" s="261" t="n"/>
    </row>
    <row r="147">
      <c r="A147" s="126" t="n"/>
      <c r="B147" s="258" t="n"/>
      <c r="C147" s="147" t="n"/>
      <c r="D147" s="133" t="n"/>
      <c r="E147" s="259" t="n"/>
      <c r="F147" s="259" t="n"/>
      <c r="G147" s="147" t="n"/>
      <c r="H147" s="260" t="n"/>
      <c r="I147" s="260" t="n"/>
      <c r="J147" s="260" t="n"/>
      <c r="K147" s="133" t="n"/>
      <c r="L147" s="147" t="n"/>
      <c r="M147" s="260" t="n"/>
      <c r="N147" s="133" t="n"/>
      <c r="O147" s="133" t="n"/>
      <c r="P147" s="259" t="n"/>
    </row>
    <row r="148">
      <c r="A148" s="258" t="n"/>
      <c r="B148" s="258" t="n"/>
      <c r="C148" s="125" t="n"/>
      <c r="D148" s="124" t="n"/>
      <c r="E148" s="258" t="n"/>
      <c r="F148" s="258" t="n"/>
      <c r="G148" s="125" t="n"/>
      <c r="H148" s="255" t="n"/>
      <c r="I148" s="255" t="n"/>
      <c r="J148" s="255" t="n"/>
      <c r="K148" s="124" t="n"/>
      <c r="L148" s="125" t="n"/>
      <c r="M148" s="255" t="n"/>
      <c r="N148" s="124" t="n"/>
      <c r="O148" s="124" t="n"/>
      <c r="P148" s="258" t="n"/>
    </row>
    <row r="149">
      <c r="A149" s="258" t="n"/>
      <c r="B149" s="258" t="n"/>
      <c r="C149" s="121" t="n"/>
      <c r="D149" s="122" t="n"/>
      <c r="E149" s="261" t="n"/>
      <c r="F149" s="261" t="n"/>
      <c r="G149" s="121" t="n"/>
      <c r="H149" s="287" t="n"/>
      <c r="I149" s="287" t="n"/>
      <c r="J149" s="287" t="n"/>
      <c r="K149" s="122" t="n"/>
      <c r="L149" s="121" t="n"/>
      <c r="M149" s="287" t="n"/>
      <c r="N149" s="122" t="n"/>
      <c r="O149" s="122" t="n"/>
      <c r="P149" s="261" t="n"/>
    </row>
    <row r="150">
      <c r="A150" s="258" t="n"/>
      <c r="B150" s="258" t="n"/>
      <c r="C150" s="121" t="n"/>
      <c r="D150" s="122" t="n"/>
      <c r="E150" s="261" t="n"/>
      <c r="F150" s="261" t="n"/>
      <c r="G150" s="121" t="n"/>
      <c r="H150" s="287" t="n"/>
      <c r="I150" s="287" t="n"/>
      <c r="J150" s="287" t="n"/>
      <c r="K150" s="122" t="n"/>
      <c r="L150" s="121" t="n"/>
      <c r="M150" s="287" t="n"/>
      <c r="N150" s="122" t="n"/>
      <c r="O150" s="122" t="n"/>
      <c r="P150" s="261" t="n"/>
    </row>
    <row r="151">
      <c r="A151" s="258" t="n"/>
      <c r="B151" s="258" t="n"/>
      <c r="C151" s="125" t="n"/>
      <c r="D151" s="124" t="n"/>
      <c r="E151" s="258" t="n"/>
      <c r="F151" s="258" t="n"/>
      <c r="G151" s="125" t="n"/>
      <c r="H151" s="255" t="n"/>
      <c r="I151" s="255" t="n"/>
      <c r="J151" s="255" t="n"/>
      <c r="K151" s="124" t="n"/>
      <c r="L151" s="125" t="n"/>
      <c r="M151" s="255" t="n"/>
      <c r="N151" s="124" t="n"/>
      <c r="O151" s="124" t="n"/>
      <c r="P151" s="258" t="n"/>
    </row>
    <row r="152">
      <c r="A152" s="262" t="n"/>
      <c r="B152" s="258" t="n"/>
      <c r="C152" s="263" t="n"/>
      <c r="D152" s="264" t="n"/>
      <c r="E152" s="262" t="n"/>
      <c r="F152" s="262" t="n"/>
      <c r="G152" s="263" t="n"/>
      <c r="H152" s="175" t="n"/>
      <c r="I152" s="175" t="n"/>
      <c r="J152" s="175" t="n"/>
      <c r="K152" s="264" t="n"/>
      <c r="L152" s="263" t="n"/>
      <c r="M152" s="175" t="n"/>
      <c r="N152" s="264" t="n"/>
      <c r="O152" s="264" t="n"/>
      <c r="P152" s="262" t="n"/>
    </row>
    <row r="153">
      <c r="A153" s="258" t="n"/>
      <c r="B153" s="258" t="n"/>
      <c r="C153" s="125" t="n"/>
      <c r="D153" s="124" t="n"/>
      <c r="E153" s="258" t="n"/>
      <c r="F153" s="258" t="n"/>
      <c r="G153" s="125" t="n"/>
      <c r="H153" s="255" t="n"/>
      <c r="I153" s="255" t="n"/>
      <c r="J153" s="255" t="n"/>
      <c r="K153" s="124" t="n"/>
      <c r="L153" s="125" t="n"/>
      <c r="M153" s="255" t="n"/>
      <c r="N153" s="124" t="n"/>
      <c r="O153" s="124" t="n"/>
      <c r="P153" s="258" t="n"/>
    </row>
    <row r="154">
      <c r="A154" s="258" t="n"/>
      <c r="B154" s="258" t="n"/>
      <c r="C154" s="125" t="n"/>
      <c r="D154" s="124" t="n"/>
      <c r="E154" s="258" t="n"/>
      <c r="F154" s="258" t="n"/>
      <c r="G154" s="125" t="n"/>
      <c r="H154" s="255" t="n"/>
      <c r="I154" s="255" t="n"/>
      <c r="J154" s="255" t="n"/>
      <c r="K154" s="124" t="n"/>
      <c r="L154" s="125" t="n"/>
      <c r="M154" s="255" t="n"/>
      <c r="N154" s="124" t="n"/>
      <c r="O154" s="124" t="n"/>
      <c r="P154" s="258" t="n"/>
    </row>
    <row r="155">
      <c r="A155" s="126" t="n"/>
      <c r="B155" s="258" t="n"/>
      <c r="C155" s="205" t="n"/>
      <c r="D155" s="133" t="n"/>
      <c r="E155" s="126" t="n"/>
      <c r="F155" s="126" t="n"/>
      <c r="G155" s="205" t="n"/>
      <c r="H155" s="209" t="n"/>
      <c r="I155" s="209" t="n"/>
      <c r="J155" s="209" t="n"/>
      <c r="K155" s="206" t="n"/>
      <c r="L155" s="205" t="n"/>
      <c r="M155" s="209" t="n"/>
      <c r="N155" s="206" t="n"/>
      <c r="O155" s="206" t="n"/>
      <c r="P155" s="126" t="n"/>
    </row>
    <row r="156" customFormat="1" s="127">
      <c r="A156" s="258" t="n"/>
      <c r="B156" s="258" t="n"/>
      <c r="C156" s="121" t="n"/>
      <c r="D156" s="122" t="n"/>
      <c r="E156" s="261" t="n"/>
      <c r="F156" s="261" t="n"/>
      <c r="G156" s="121" t="n"/>
      <c r="H156" s="287" t="n"/>
      <c r="I156" s="287" t="n"/>
      <c r="J156" s="287" t="n"/>
      <c r="K156" s="122" t="n"/>
      <c r="L156" s="121" t="n"/>
      <c r="M156" s="287" t="n"/>
      <c r="N156" s="122" t="n"/>
      <c r="O156" s="122" t="n"/>
      <c r="P156" s="261" t="n"/>
      <c r="Q156" s="146" t="n"/>
      <c r="R156" s="146" t="n"/>
      <c r="S156" s="146" t="n"/>
      <c r="T156" s="146" t="n"/>
      <c r="U156" s="146" t="n"/>
      <c r="V156" s="146" t="n"/>
    </row>
    <row r="157">
      <c r="A157" s="258" t="n"/>
      <c r="B157" s="258" t="n"/>
      <c r="C157" s="125" t="n"/>
      <c r="D157" s="124" t="n"/>
      <c r="E157" s="258" t="n"/>
      <c r="F157" s="258" t="n"/>
      <c r="G157" s="125" t="n"/>
      <c r="H157" s="255" t="n"/>
      <c r="I157" s="255" t="n"/>
      <c r="J157" s="255" t="n"/>
      <c r="K157" s="124" t="n"/>
      <c r="L157" s="125" t="n"/>
      <c r="M157" s="255" t="n"/>
      <c r="N157" s="124" t="n"/>
      <c r="O157" s="124" t="n"/>
      <c r="P157" s="258" t="n"/>
    </row>
    <row r="158">
      <c r="A158" s="258" t="n"/>
      <c r="B158" s="258" t="n"/>
      <c r="C158" s="122" t="n"/>
      <c r="D158" s="122" t="n"/>
      <c r="E158" s="261" t="n"/>
      <c r="F158" s="261" t="n"/>
      <c r="G158" s="121" t="n"/>
      <c r="H158" s="287" t="n"/>
      <c r="I158" s="287" t="n"/>
      <c r="J158" s="287" t="n"/>
      <c r="K158" s="122" t="n"/>
      <c r="L158" s="121" t="n"/>
      <c r="M158" s="287" t="n"/>
      <c r="N158" s="122" t="n"/>
      <c r="O158" s="122" t="n"/>
      <c r="P158" s="261" t="n"/>
    </row>
    <row r="159">
      <c r="A159" s="258" t="n"/>
      <c r="B159" s="258" t="n"/>
      <c r="C159" s="125" t="n"/>
      <c r="D159" s="124" t="n"/>
      <c r="E159" s="258" t="n"/>
      <c r="F159" s="258" t="n"/>
      <c r="G159" s="125" t="n"/>
      <c r="H159" s="255" t="n"/>
      <c r="I159" s="255" t="n"/>
      <c r="J159" s="255" t="n"/>
      <c r="K159" s="124" t="n"/>
      <c r="L159" s="125" t="n"/>
      <c r="M159" s="255" t="n"/>
      <c r="N159" s="124" t="n"/>
      <c r="O159" s="124" t="n"/>
      <c r="P159" s="258" t="n"/>
    </row>
    <row r="160">
      <c r="A160" s="258" t="n"/>
      <c r="B160" s="258" t="n"/>
      <c r="C160" s="125" t="n"/>
      <c r="D160" s="124" t="n"/>
      <c r="E160" s="258" t="n"/>
      <c r="F160" s="258" t="n"/>
      <c r="G160" s="125" t="n"/>
      <c r="H160" s="255" t="n"/>
      <c r="I160" s="255" t="n"/>
      <c r="J160" s="255" t="n"/>
      <c r="K160" s="124" t="n"/>
      <c r="L160" s="125" t="n"/>
      <c r="M160" s="255" t="n"/>
      <c r="N160" s="124" t="n"/>
      <c r="O160" s="124" t="n"/>
      <c r="P160" s="258" t="n"/>
    </row>
  </sheetData>
  <mergeCells count="3">
    <mergeCell ref="E1:I1"/>
    <mergeCell ref="N1:O1"/>
    <mergeCell ref="A1:D2"/>
  </mergeCells>
  <pageMargins left="0.3149606299212598" right="0.1181102362204725" top="0.2362204724409449" bottom="0.5905511811023623" header="0.3149606299212598" footer="0.3149606299212598"/>
  <pageSetup orientation="portrait" paperSize="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6"/>
  <sheetViews>
    <sheetView zoomScale="140" zoomScaleNormal="140" workbookViewId="0">
      <selection activeCell="J14" sqref="J14"/>
    </sheetView>
  </sheetViews>
  <sheetFormatPr baseColWidth="8" defaultColWidth="10" defaultRowHeight="15.6"/>
  <cols>
    <col width="4.21875" customWidth="1" style="216" min="1" max="1"/>
    <col width="4.21875" bestFit="1" customWidth="1" style="216" min="2" max="2"/>
    <col width="6" customWidth="1" style="245" min="3" max="3"/>
    <col width="8.21875" customWidth="1" style="246" min="4" max="4"/>
    <col width="8.21875" bestFit="1" customWidth="1" style="216" min="5" max="5"/>
    <col width="4.44140625" bestFit="1" customWidth="1" style="216" min="6" max="6"/>
    <col width="6.88671875" customWidth="1" style="245" min="7" max="7"/>
    <col width="3" customWidth="1" style="193" min="8" max="8"/>
    <col width="3.109375" customWidth="1" style="193" min="9" max="9"/>
    <col width="2.88671875" customWidth="1" style="193" min="10" max="10"/>
    <col width="7.6640625" bestFit="1" customWidth="1" style="246" min="11" max="11"/>
    <col width="5.77734375" bestFit="1" customWidth="1" style="245" min="12" max="12"/>
    <col width="9.21875" bestFit="1" customWidth="1" style="193" min="13" max="13"/>
    <col width="14.109375" bestFit="1" customWidth="1" style="246" min="14" max="14"/>
    <col width="5.21875" bestFit="1" customWidth="1" style="246" min="15" max="15"/>
    <col width="6.109375" bestFit="1" customWidth="1" style="216" min="16" max="16"/>
    <col width="0.5546875" customWidth="1" style="216" min="17" max="22"/>
    <col width="10" customWidth="1" style="216" min="23" max="23"/>
    <col width="10" customWidth="1" style="216" min="24" max="16384"/>
  </cols>
  <sheetData>
    <row r="1" ht="21" customFormat="1" customHeight="1" s="317">
      <c r="A1" s="316" t="n"/>
      <c r="E1" s="318" t="n"/>
      <c r="F1" s="293" t="n"/>
      <c r="G1" s="315" t="n"/>
      <c r="H1" s="302" t="n"/>
      <c r="I1" s="302" t="n"/>
      <c r="J1" s="303" t="n"/>
      <c r="K1" s="234" t="n"/>
      <c r="L1" s="235" t="n"/>
      <c r="M1" s="293" t="n"/>
      <c r="N1" s="315" t="n"/>
      <c r="O1" s="303" t="n"/>
      <c r="P1" s="293" t="n"/>
    </row>
    <row r="2" ht="21" customFormat="1" customHeight="1" s="317">
      <c r="A2" s="307" t="n"/>
      <c r="B2" s="308" t="n"/>
      <c r="C2" s="308" t="n"/>
      <c r="D2" s="308" t="n"/>
      <c r="E2" s="309" t="n"/>
      <c r="F2" s="293" t="n"/>
      <c r="G2" s="235" t="n"/>
      <c r="H2" s="293" t="n"/>
      <c r="I2" s="293" t="n"/>
      <c r="J2" s="293" t="n"/>
      <c r="K2" s="234" t="n"/>
      <c r="L2" s="235" t="n"/>
      <c r="M2" s="293" t="n"/>
      <c r="N2" s="234" t="n"/>
      <c r="O2" s="234" t="n"/>
      <c r="P2" s="293" t="n"/>
    </row>
    <row r="3" ht="21" customHeight="1" s="268">
      <c r="A3" s="213" t="n"/>
      <c r="B3" s="213" t="n"/>
      <c r="C3" s="214" t="n"/>
      <c r="D3" s="234" t="n"/>
      <c r="E3" s="196" t="n"/>
      <c r="F3" s="213" t="n"/>
      <c r="G3" s="214" t="n"/>
      <c r="H3" s="196" t="n"/>
      <c r="I3" s="196" t="n"/>
      <c r="J3" s="196" t="n"/>
      <c r="K3" s="215" t="n"/>
      <c r="L3" s="214" t="n"/>
      <c r="M3" s="196" t="n"/>
      <c r="N3" s="215" t="n"/>
      <c r="O3" s="215" t="n"/>
      <c r="P3" s="213" t="n"/>
    </row>
    <row r="4">
      <c r="A4" s="233" t="n"/>
      <c r="B4" s="233" t="n"/>
      <c r="C4" s="217" t="n"/>
      <c r="D4" s="218" t="n"/>
      <c r="E4" s="233" t="n"/>
      <c r="F4" s="233" t="n"/>
      <c r="G4" s="217" t="n"/>
      <c r="H4" s="231" t="n"/>
      <c r="I4" s="231" t="n"/>
      <c r="J4" s="231" t="n"/>
      <c r="K4" s="218" t="n"/>
      <c r="L4" s="217" t="n"/>
      <c r="M4" s="231" t="n"/>
      <c r="N4" s="218" t="n"/>
      <c r="O4" s="218" t="n"/>
      <c r="P4" s="233" t="n"/>
    </row>
    <row r="5">
      <c r="A5" s="233" t="n"/>
      <c r="B5" s="233" t="n"/>
      <c r="C5" s="217" t="n"/>
      <c r="D5" s="218" t="n"/>
      <c r="E5" s="233" t="n"/>
      <c r="F5" s="233" t="n"/>
      <c r="G5" s="217" t="n"/>
      <c r="H5" s="231" t="n"/>
      <c r="I5" s="231" t="n"/>
      <c r="J5" s="231" t="n"/>
      <c r="K5" s="218" t="n"/>
      <c r="L5" s="217" t="n"/>
      <c r="M5" s="231" t="n"/>
      <c r="N5" s="218" t="n"/>
      <c r="O5" s="218" t="n"/>
      <c r="P5" s="233" t="n"/>
    </row>
    <row r="6">
      <c r="A6" s="233" t="n"/>
      <c r="B6" s="233" t="n"/>
      <c r="C6" s="217" t="n"/>
      <c r="D6" s="218" t="n"/>
      <c r="E6" s="233" t="n"/>
      <c r="F6" s="233" t="n"/>
      <c r="G6" s="217" t="n"/>
      <c r="H6" s="231" t="n"/>
      <c r="I6" s="231" t="n"/>
      <c r="J6" s="231" t="n"/>
      <c r="K6" s="218" t="n"/>
      <c r="L6" s="217" t="n"/>
      <c r="M6" s="231" t="n"/>
      <c r="N6" s="218" t="n"/>
      <c r="O6" s="218" t="n"/>
      <c r="P6" s="233" t="n"/>
    </row>
    <row r="7">
      <c r="A7" s="213" t="n"/>
      <c r="B7" s="233" t="n"/>
      <c r="C7" s="214" t="n"/>
      <c r="D7" s="215" t="n"/>
      <c r="E7" s="213" t="n"/>
      <c r="F7" s="213" t="n"/>
      <c r="G7" s="214" t="n"/>
      <c r="H7" s="196" t="n"/>
      <c r="I7" s="196" t="n"/>
      <c r="J7" s="196" t="n"/>
      <c r="K7" s="215" t="n"/>
      <c r="L7" s="214" t="n"/>
      <c r="M7" s="196" t="n"/>
      <c r="N7" s="215" t="n"/>
      <c r="O7" s="215" t="n"/>
      <c r="P7" s="213" t="n"/>
    </row>
    <row r="8">
      <c r="A8" s="213" t="n"/>
      <c r="B8" s="233" t="n"/>
      <c r="C8" s="214" t="n"/>
      <c r="D8" s="215" t="n"/>
      <c r="E8" s="213" t="n"/>
      <c r="F8" s="213" t="n"/>
      <c r="G8" s="214" t="n"/>
      <c r="H8" s="196" t="n"/>
      <c r="I8" s="196" t="n"/>
      <c r="J8" s="196" t="n"/>
      <c r="K8" s="215" t="n"/>
      <c r="L8" s="214" t="n"/>
      <c r="M8" s="196" t="n"/>
      <c r="N8" s="215" t="n"/>
      <c r="O8" s="215" t="n"/>
      <c r="P8" s="213" t="n"/>
    </row>
    <row r="9">
      <c r="A9" s="213" t="n"/>
      <c r="B9" s="233" t="n"/>
      <c r="C9" s="214" t="n"/>
      <c r="D9" s="215" t="n"/>
      <c r="E9" s="213" t="n"/>
      <c r="F9" s="213" t="n"/>
      <c r="G9" s="214" t="n"/>
      <c r="H9" s="196" t="n"/>
      <c r="I9" s="196" t="n"/>
      <c r="J9" s="196" t="n"/>
      <c r="K9" s="215" t="n"/>
      <c r="L9" s="214" t="n"/>
      <c r="M9" s="196" t="n"/>
      <c r="N9" s="215" t="n"/>
      <c r="O9" s="215" t="n"/>
      <c r="P9" s="213" t="n"/>
    </row>
    <row r="10">
      <c r="A10" s="213" t="n"/>
      <c r="B10" s="233" t="n"/>
      <c r="C10" s="214" t="n"/>
      <c r="D10" s="215" t="n"/>
      <c r="E10" s="213" t="n"/>
      <c r="F10" s="213" t="n"/>
      <c r="G10" s="214" t="n"/>
      <c r="H10" s="196" t="n"/>
      <c r="I10" s="196" t="n"/>
      <c r="J10" s="196" t="n"/>
      <c r="K10" s="215" t="n"/>
      <c r="L10" s="214" t="n"/>
      <c r="M10" s="196" t="n"/>
      <c r="N10" s="215" t="n"/>
      <c r="O10" s="215" t="n"/>
      <c r="P10" s="213" t="n"/>
    </row>
    <row r="11" customFormat="1" s="245">
      <c r="A11" s="213" t="n"/>
      <c r="B11" s="233" t="n"/>
      <c r="C11" s="214" t="n"/>
      <c r="D11" s="215" t="n"/>
      <c r="E11" s="213" t="n"/>
      <c r="F11" s="213" t="n"/>
      <c r="G11" s="214" t="n"/>
      <c r="H11" s="196" t="n"/>
      <c r="I11" s="196" t="n"/>
      <c r="J11" s="196" t="n"/>
      <c r="K11" s="215" t="n"/>
      <c r="L11" s="214" t="n"/>
      <c r="M11" s="196" t="n"/>
      <c r="N11" s="215" t="n"/>
      <c r="O11" s="215" t="n"/>
      <c r="P11" s="213" t="n"/>
      <c r="Q11" s="216" t="n"/>
      <c r="R11" s="216" t="n"/>
    </row>
    <row r="12">
      <c r="A12" s="213" t="n"/>
      <c r="B12" s="233" t="n"/>
      <c r="C12" s="214" t="n"/>
      <c r="D12" s="215" t="n"/>
      <c r="E12" s="213" t="n"/>
      <c r="F12" s="213" t="n"/>
      <c r="G12" s="214" t="n"/>
      <c r="H12" s="196" t="n"/>
      <c r="I12" s="196" t="n"/>
      <c r="J12" s="196" t="n"/>
      <c r="K12" s="215" t="n"/>
      <c r="L12" s="214" t="n"/>
      <c r="M12" s="196" t="n"/>
      <c r="N12" s="215" t="n"/>
      <c r="O12" s="215" t="n"/>
      <c r="P12" s="213" t="n"/>
    </row>
    <row r="13">
      <c r="A13" s="213" t="n"/>
      <c r="B13" s="233" t="n"/>
      <c r="C13" s="214" t="n"/>
      <c r="D13" s="215" t="n"/>
      <c r="E13" s="213" t="n"/>
      <c r="F13" s="213" t="n"/>
      <c r="G13" s="214" t="n"/>
      <c r="H13" s="196" t="n"/>
      <c r="I13" s="196" t="n"/>
      <c r="J13" s="196" t="n"/>
      <c r="K13" s="215" t="n"/>
      <c r="L13" s="214" t="n"/>
      <c r="M13" s="196" t="n"/>
      <c r="N13" s="215" t="n"/>
      <c r="O13" s="215" t="n"/>
      <c r="P13" s="213" t="n"/>
    </row>
    <row r="14">
      <c r="A14" s="213" t="n"/>
      <c r="B14" s="233" t="n"/>
      <c r="C14" s="214" t="n"/>
      <c r="D14" s="215" t="n"/>
      <c r="E14" s="213" t="n"/>
      <c r="F14" s="213" t="n"/>
      <c r="G14" s="214" t="n"/>
      <c r="H14" s="196" t="n"/>
      <c r="I14" s="196" t="n"/>
      <c r="J14" s="196" t="n"/>
      <c r="K14" s="215" t="n"/>
      <c r="L14" s="214" t="n"/>
      <c r="M14" s="196" t="n"/>
      <c r="N14" s="215" t="n"/>
      <c r="O14" s="215" t="n"/>
      <c r="P14" s="213" t="n"/>
    </row>
    <row r="15">
      <c r="A15" s="233" t="n"/>
      <c r="B15" s="233" t="n"/>
      <c r="C15" s="217" t="n"/>
      <c r="D15" s="218" t="n"/>
      <c r="E15" s="233" t="n"/>
      <c r="F15" s="233" t="n"/>
      <c r="G15" s="217" t="n"/>
      <c r="H15" s="231" t="n"/>
      <c r="I15" s="231" t="n"/>
      <c r="J15" s="231" t="n"/>
      <c r="K15" s="218" t="n"/>
      <c r="L15" s="217" t="n"/>
      <c r="M15" s="231" t="n"/>
      <c r="N15" s="218" t="n"/>
      <c r="O15" s="218" t="n"/>
      <c r="P15" s="233" t="n"/>
    </row>
    <row r="16">
      <c r="A16" s="233" t="n"/>
      <c r="B16" s="233" t="n"/>
      <c r="C16" s="217" t="n"/>
      <c r="D16" s="218" t="n"/>
      <c r="E16" s="233" t="n"/>
      <c r="F16" s="233" t="n"/>
      <c r="G16" s="217" t="n"/>
      <c r="H16" s="231" t="n"/>
      <c r="I16" s="231" t="n"/>
      <c r="J16" s="231" t="n"/>
      <c r="K16" s="218" t="n"/>
      <c r="L16" s="217" t="n"/>
      <c r="M16" s="231" t="n"/>
      <c r="N16" s="218" t="n"/>
      <c r="O16" s="218" t="n"/>
      <c r="P16" s="233" t="n"/>
    </row>
    <row r="17">
      <c r="A17" s="213" t="n"/>
      <c r="B17" s="233" t="n"/>
      <c r="C17" s="214" t="n"/>
      <c r="D17" s="215" t="n"/>
      <c r="E17" s="213" t="n"/>
      <c r="F17" s="213" t="n"/>
      <c r="G17" s="214" t="n"/>
      <c r="H17" s="196" t="n"/>
      <c r="I17" s="196" t="n"/>
      <c r="J17" s="196" t="n"/>
      <c r="K17" s="215" t="n"/>
      <c r="L17" s="214" t="n"/>
      <c r="M17" s="196" t="n"/>
      <c r="N17" s="215" t="n"/>
      <c r="O17" s="215" t="n"/>
      <c r="P17" s="213" t="n"/>
    </row>
    <row r="18">
      <c r="A18" s="224" t="n"/>
      <c r="B18" s="233" t="n"/>
      <c r="C18" s="222" t="n"/>
      <c r="D18" s="223" t="n"/>
      <c r="E18" s="224" t="n"/>
      <c r="F18" s="224" t="n"/>
      <c r="G18" s="222" t="n"/>
      <c r="H18" s="225" t="n"/>
      <c r="I18" s="225" t="n"/>
      <c r="J18" s="225" t="n"/>
      <c r="K18" s="223" t="n"/>
      <c r="L18" s="222" t="n"/>
      <c r="M18" s="225" t="n"/>
      <c r="N18" s="223" t="n"/>
      <c r="O18" s="223" t="n"/>
      <c r="P18" s="224" t="n"/>
    </row>
    <row r="19">
      <c r="A19" s="213" t="n"/>
      <c r="B19" s="233" t="n"/>
      <c r="C19" s="214" t="n"/>
      <c r="D19" s="215" t="n"/>
      <c r="E19" s="213" t="n"/>
      <c r="F19" s="213" t="n"/>
      <c r="G19" s="214" t="n"/>
      <c r="H19" s="196" t="n"/>
      <c r="I19" s="196" t="n"/>
      <c r="J19" s="196" t="n"/>
      <c r="K19" s="215" t="n"/>
      <c r="L19" s="214" t="n"/>
      <c r="M19" s="196" t="n"/>
      <c r="N19" s="215" t="n"/>
      <c r="O19" s="215" t="n"/>
      <c r="P19" s="213" t="n"/>
    </row>
    <row r="20">
      <c r="A20" s="221" t="n"/>
      <c r="B20" s="233" t="n"/>
      <c r="C20" s="226" t="n"/>
      <c r="D20" s="227" t="n"/>
      <c r="E20" s="221" t="n"/>
      <c r="F20" s="221" t="n"/>
      <c r="G20" s="226" t="n"/>
      <c r="H20" s="228" t="n"/>
      <c r="I20" s="228" t="n"/>
      <c r="J20" s="228" t="n"/>
      <c r="K20" s="227" t="n"/>
      <c r="L20" s="226" t="n"/>
      <c r="M20" s="228" t="n"/>
      <c r="N20" s="227" t="n"/>
      <c r="O20" s="227" t="n"/>
      <c r="P20" s="221" t="n"/>
    </row>
    <row r="21">
      <c r="A21" s="213" t="n"/>
      <c r="B21" s="233" t="n"/>
      <c r="C21" s="214" t="n"/>
      <c r="D21" s="215" t="n"/>
      <c r="E21" s="213" t="n"/>
      <c r="F21" s="213" t="n"/>
      <c r="G21" s="214" t="n"/>
      <c r="H21" s="196" t="n"/>
      <c r="I21" s="196" t="n"/>
      <c r="J21" s="196" t="n"/>
      <c r="K21" s="215" t="n"/>
      <c r="L21" s="214" t="n"/>
      <c r="M21" s="196" t="n"/>
      <c r="N21" s="215" t="n"/>
      <c r="O21" s="215" t="n"/>
      <c r="P21" s="213" t="n"/>
    </row>
    <row r="22">
      <c r="A22" s="213" t="n"/>
      <c r="B22" s="233" t="n"/>
      <c r="C22" s="214" t="n"/>
      <c r="D22" s="215" t="n"/>
      <c r="E22" s="213" t="n"/>
      <c r="F22" s="213" t="n"/>
      <c r="G22" s="214" t="n"/>
      <c r="H22" s="196" t="n"/>
      <c r="I22" s="196" t="n"/>
      <c r="J22" s="196" t="n"/>
      <c r="K22" s="215" t="n"/>
      <c r="L22" s="214" t="n"/>
      <c r="M22" s="196" t="n"/>
      <c r="N22" s="215" t="n"/>
      <c r="O22" s="215" t="n"/>
      <c r="P22" s="213" t="n"/>
    </row>
    <row r="23">
      <c r="A23" s="221" t="n"/>
      <c r="B23" s="233" t="n"/>
      <c r="C23" s="226" t="n"/>
      <c r="D23" s="223" t="n"/>
      <c r="E23" s="221" t="n"/>
      <c r="F23" s="221" t="n"/>
      <c r="G23" s="226" t="n"/>
      <c r="H23" s="228" t="n"/>
      <c r="I23" s="228" t="n"/>
      <c r="J23" s="228" t="n"/>
      <c r="K23" s="227" t="n"/>
      <c r="L23" s="226" t="n"/>
      <c r="M23" s="228" t="n"/>
      <c r="N23" s="227" t="n"/>
      <c r="O23" s="227" t="n"/>
      <c r="P23" s="221" t="n"/>
    </row>
    <row r="24">
      <c r="A24" s="233" t="n"/>
      <c r="B24" s="233" t="n"/>
      <c r="C24" s="217" t="n"/>
      <c r="D24" s="215" t="n"/>
      <c r="E24" s="233" t="n"/>
      <c r="F24" s="233" t="n"/>
      <c r="G24" s="217" t="n"/>
      <c r="H24" s="231" t="n"/>
      <c r="I24" s="231" t="n"/>
      <c r="J24" s="231" t="n"/>
      <c r="K24" s="218" t="n"/>
      <c r="L24" s="217" t="n"/>
      <c r="M24" s="231" t="n"/>
      <c r="N24" s="218" t="n"/>
      <c r="O24" s="218" t="n"/>
      <c r="P24" s="233" t="n"/>
    </row>
    <row r="25">
      <c r="A25" s="213" t="n"/>
      <c r="B25" s="233" t="n"/>
      <c r="C25" s="214" t="n"/>
      <c r="D25" s="215" t="n"/>
      <c r="E25" s="213" t="n"/>
      <c r="F25" s="213" t="n"/>
      <c r="G25" s="214" t="n"/>
      <c r="H25" s="196" t="n"/>
      <c r="I25" s="196" t="n"/>
      <c r="J25" s="196" t="n"/>
      <c r="K25" s="215" t="n"/>
      <c r="L25" s="214" t="n"/>
      <c r="M25" s="196" t="n"/>
      <c r="N25" s="215" t="n"/>
      <c r="O25" s="215" t="n"/>
      <c r="P25" s="213" t="n"/>
    </row>
    <row r="26">
      <c r="A26" s="224" t="n"/>
      <c r="B26" s="233" t="n"/>
      <c r="C26" s="222" t="n"/>
      <c r="D26" s="223" t="n"/>
      <c r="E26" s="224" t="n"/>
      <c r="F26" s="224" t="n"/>
      <c r="G26" s="222" t="n"/>
      <c r="H26" s="225" t="n"/>
      <c r="I26" s="225" t="n"/>
      <c r="J26" s="225" t="n"/>
      <c r="K26" s="223" t="n"/>
      <c r="L26" s="222" t="n"/>
      <c r="M26" s="225" t="n"/>
      <c r="N26" s="223" t="n"/>
      <c r="O26" s="223" t="n"/>
      <c r="P26" s="224" t="n"/>
    </row>
    <row r="27">
      <c r="A27" s="233" t="n"/>
      <c r="B27" s="233" t="n"/>
      <c r="C27" s="217" t="n"/>
      <c r="D27" s="218" t="n"/>
      <c r="E27" s="233" t="n"/>
      <c r="F27" s="233" t="n"/>
      <c r="G27" s="217" t="n"/>
      <c r="H27" s="231" t="n"/>
      <c r="I27" s="231" t="n"/>
      <c r="J27" s="231" t="n"/>
      <c r="K27" s="218" t="n"/>
      <c r="L27" s="217" t="n"/>
      <c r="M27" s="231" t="n"/>
      <c r="N27" s="218" t="n"/>
      <c r="O27" s="218" t="n"/>
      <c r="P27" s="233" t="n"/>
    </row>
    <row r="28" customFormat="1" s="245">
      <c r="A28" s="233" t="n"/>
      <c r="B28" s="233" t="n"/>
      <c r="C28" s="217" t="n"/>
      <c r="D28" s="218" t="n"/>
      <c r="E28" s="233" t="n"/>
      <c r="F28" s="233" t="n"/>
      <c r="G28" s="217" t="n"/>
      <c r="H28" s="231" t="n"/>
      <c r="I28" s="231" t="n"/>
      <c r="J28" s="231" t="n"/>
      <c r="K28" s="218" t="n"/>
      <c r="L28" s="217" t="n"/>
      <c r="M28" s="231" t="n"/>
      <c r="N28" s="218" t="n"/>
      <c r="O28" s="218" t="n"/>
      <c r="P28" s="233" t="n"/>
    </row>
    <row r="29">
      <c r="A29" s="233" t="n"/>
      <c r="B29" s="233" t="n"/>
      <c r="C29" s="217" t="n"/>
      <c r="D29" s="218" t="n"/>
      <c r="E29" s="233" t="n"/>
      <c r="F29" s="233" t="n"/>
      <c r="G29" s="217" t="n"/>
      <c r="H29" s="231" t="n"/>
      <c r="I29" s="231" t="n"/>
      <c r="J29" s="231" t="n"/>
      <c r="K29" s="218" t="n"/>
      <c r="L29" s="217" t="n"/>
      <c r="M29" s="231" t="n"/>
      <c r="N29" s="218" t="n"/>
      <c r="O29" s="218" t="n"/>
      <c r="P29" s="233" t="n"/>
    </row>
    <row r="30">
      <c r="A30" s="233" t="n"/>
      <c r="B30" s="233" t="n"/>
      <c r="C30" s="217" t="n"/>
      <c r="D30" s="218" t="n"/>
      <c r="E30" s="233" t="n"/>
      <c r="F30" s="233" t="n"/>
      <c r="G30" s="217" t="n"/>
      <c r="H30" s="231" t="n"/>
      <c r="I30" s="231" t="n"/>
      <c r="J30" s="231" t="n"/>
      <c r="K30" s="218" t="n"/>
      <c r="L30" s="217" t="n"/>
      <c r="M30" s="231" t="n"/>
      <c r="N30" s="218" t="n"/>
      <c r="O30" s="218" t="n"/>
      <c r="P30" s="233" t="n"/>
    </row>
    <row r="31">
      <c r="A31" s="233" t="n"/>
      <c r="B31" s="233" t="n"/>
      <c r="C31" s="217" t="n"/>
      <c r="D31" s="218" t="n"/>
      <c r="E31" s="233" t="n"/>
      <c r="F31" s="233" t="n"/>
      <c r="G31" s="217" t="n"/>
      <c r="H31" s="231" t="n"/>
      <c r="I31" s="231" t="n"/>
      <c r="J31" s="231" t="n"/>
      <c r="K31" s="218" t="n"/>
      <c r="L31" s="217" t="n"/>
      <c r="M31" s="231" t="n"/>
      <c r="N31" s="218" t="n"/>
      <c r="O31" s="218" t="n"/>
      <c r="P31" s="233" t="n"/>
    </row>
    <row r="32">
      <c r="A32" s="233" t="n"/>
      <c r="B32" s="233" t="n"/>
      <c r="C32" s="217" t="n"/>
      <c r="D32" s="218" t="n"/>
      <c r="E32" s="233" t="n"/>
      <c r="F32" s="233" t="n"/>
      <c r="G32" s="217" t="n"/>
      <c r="H32" s="231" t="n"/>
      <c r="I32" s="231" t="n"/>
      <c r="J32" s="231" t="n"/>
      <c r="K32" s="218" t="n"/>
      <c r="L32" s="217" t="n"/>
      <c r="M32" s="231" t="n"/>
      <c r="N32" s="218" t="n"/>
      <c r="O32" s="218" t="n"/>
      <c r="P32" s="233" t="n"/>
    </row>
    <row r="33">
      <c r="A33" s="233" t="n"/>
      <c r="B33" s="233" t="n"/>
      <c r="C33" s="217" t="n"/>
      <c r="D33" s="218" t="n"/>
      <c r="E33" s="233" t="n"/>
      <c r="F33" s="233" t="n"/>
      <c r="G33" s="217" t="n"/>
      <c r="H33" s="231" t="n"/>
      <c r="I33" s="231" t="n"/>
      <c r="J33" s="231" t="n"/>
      <c r="K33" s="218" t="n"/>
      <c r="L33" s="217" t="n"/>
      <c r="M33" s="231" t="n"/>
      <c r="N33" s="218" t="n"/>
      <c r="O33" s="218" t="n"/>
      <c r="P33" s="233" t="n"/>
    </row>
    <row r="34">
      <c r="A34" s="213" t="n"/>
      <c r="B34" s="233" t="n"/>
      <c r="C34" s="214" t="n"/>
      <c r="D34" s="218" t="n"/>
      <c r="E34" s="213" t="n"/>
      <c r="F34" s="213" t="n"/>
      <c r="G34" s="214" t="n"/>
      <c r="H34" s="196" t="n"/>
      <c r="I34" s="196" t="n"/>
      <c r="J34" s="196" t="n"/>
      <c r="K34" s="215" t="n"/>
      <c r="L34" s="214" t="n"/>
      <c r="M34" s="196" t="n"/>
      <c r="N34" s="215" t="n"/>
      <c r="O34" s="215" t="n"/>
      <c r="P34" s="213" t="n"/>
    </row>
    <row r="35">
      <c r="A35" s="224" t="n"/>
      <c r="B35" s="233" t="n"/>
      <c r="C35" s="222" t="n"/>
      <c r="D35" s="223" t="n"/>
      <c r="E35" s="224" t="n"/>
      <c r="F35" s="224" t="n"/>
      <c r="G35" s="222" t="n"/>
      <c r="H35" s="225" t="n"/>
      <c r="I35" s="225" t="n"/>
      <c r="J35" s="225" t="n"/>
      <c r="K35" s="223" t="n"/>
      <c r="L35" s="222" t="n"/>
      <c r="M35" s="225" t="n"/>
      <c r="N35" s="223" t="n"/>
      <c r="O35" s="223" t="n"/>
      <c r="P35" s="224" t="n"/>
    </row>
    <row r="36">
      <c r="A36" s="213" t="n"/>
      <c r="B36" s="233" t="n"/>
      <c r="C36" s="214" t="n"/>
      <c r="D36" s="215" t="n"/>
      <c r="E36" s="213" t="n"/>
      <c r="F36" s="213" t="n"/>
      <c r="G36" s="214" t="n"/>
      <c r="H36" s="196" t="n"/>
      <c r="I36" s="196" t="n"/>
      <c r="J36" s="196" t="n"/>
      <c r="K36" s="215" t="n"/>
      <c r="L36" s="214" t="n"/>
      <c r="M36" s="196" t="n"/>
      <c r="N36" s="215" t="n"/>
      <c r="O36" s="215" t="n"/>
      <c r="P36" s="213" t="n"/>
    </row>
    <row r="37">
      <c r="A37" s="233" t="n"/>
      <c r="B37" s="233" t="n"/>
      <c r="C37" s="217" t="n"/>
      <c r="D37" s="218" t="n"/>
      <c r="E37" s="233" t="n"/>
      <c r="F37" s="233" t="n"/>
      <c r="G37" s="217" t="n"/>
      <c r="H37" s="231" t="n"/>
      <c r="I37" s="231" t="n"/>
      <c r="J37" s="231" t="n"/>
      <c r="K37" s="218" t="n"/>
      <c r="L37" s="217" t="n"/>
      <c r="M37" s="231" t="n"/>
      <c r="N37" s="218" t="n"/>
      <c r="O37" s="218" t="n"/>
      <c r="P37" s="233" t="n"/>
    </row>
    <row r="38">
      <c r="A38" s="233" t="n"/>
      <c r="B38" s="233" t="n"/>
      <c r="C38" s="244" t="n"/>
      <c r="D38" s="218" t="n"/>
      <c r="E38" s="233" t="n"/>
      <c r="F38" s="233" t="n"/>
      <c r="G38" s="217" t="n"/>
      <c r="H38" s="231" t="n"/>
      <c r="I38" s="231" t="n"/>
      <c r="J38" s="231" t="n"/>
      <c r="K38" s="218" t="n"/>
      <c r="L38" s="217" t="n"/>
      <c r="M38" s="231" t="n"/>
      <c r="N38" s="218" t="n"/>
      <c r="O38" s="218" t="n"/>
      <c r="P38" s="233" t="n"/>
    </row>
    <row r="39">
      <c r="A39" s="233" t="n"/>
      <c r="B39" s="233" t="n"/>
      <c r="C39" s="217" t="n"/>
      <c r="D39" s="218" t="n"/>
      <c r="E39" s="233" t="n"/>
      <c r="F39" s="233" t="n"/>
      <c r="G39" s="217" t="n"/>
      <c r="H39" s="231" t="n"/>
      <c r="I39" s="231" t="n"/>
      <c r="J39" s="231" t="n"/>
      <c r="K39" s="218" t="n"/>
      <c r="L39" s="217" t="n"/>
      <c r="M39" s="231" t="n"/>
      <c r="N39" s="218" t="n"/>
      <c r="O39" s="218" t="n"/>
      <c r="P39" s="233" t="n"/>
    </row>
    <row r="40">
      <c r="A40" s="233" t="n"/>
      <c r="B40" s="233" t="n"/>
      <c r="C40" s="217" t="n"/>
      <c r="D40" s="218" t="n"/>
      <c r="E40" s="233" t="n"/>
      <c r="F40" s="233" t="n"/>
      <c r="G40" s="217" t="n"/>
      <c r="H40" s="231" t="n"/>
      <c r="I40" s="231" t="n"/>
      <c r="J40" s="231" t="n"/>
      <c r="K40" s="218" t="n"/>
      <c r="L40" s="217" t="n"/>
      <c r="M40" s="231" t="n"/>
      <c r="N40" s="218" t="n"/>
      <c r="O40" s="218" t="n"/>
      <c r="P40" s="233" t="n"/>
    </row>
    <row r="41">
      <c r="A41" s="213" t="n"/>
      <c r="B41" s="233" t="n"/>
      <c r="C41" s="214" t="n"/>
      <c r="D41" s="215" t="n"/>
      <c r="E41" s="213" t="n"/>
      <c r="F41" s="213" t="n"/>
      <c r="G41" s="214" t="n"/>
      <c r="H41" s="196" t="n"/>
      <c r="I41" s="196" t="n"/>
      <c r="J41" s="196" t="n"/>
      <c r="K41" s="215" t="n"/>
      <c r="L41" s="214" t="n"/>
      <c r="M41" s="196" t="n"/>
      <c r="N41" s="215" t="n"/>
      <c r="O41" s="215" t="n"/>
      <c r="P41" s="213" t="n"/>
    </row>
    <row r="42">
      <c r="A42" s="213" t="n"/>
      <c r="B42" s="233" t="n"/>
      <c r="C42" s="214" t="n"/>
      <c r="D42" s="215" t="n"/>
      <c r="E42" s="213" t="n"/>
      <c r="F42" s="213" t="n"/>
      <c r="G42" s="214" t="n"/>
      <c r="H42" s="196" t="n"/>
      <c r="I42" s="196" t="n"/>
      <c r="J42" s="196" t="n"/>
      <c r="K42" s="215" t="n"/>
      <c r="L42" s="214" t="n"/>
      <c r="M42" s="196" t="n"/>
      <c r="N42" s="215" t="n"/>
      <c r="O42" s="215" t="n"/>
      <c r="P42" s="213" t="n"/>
    </row>
    <row r="43">
      <c r="A43" s="213" t="n"/>
      <c r="B43" s="233" t="n"/>
      <c r="C43" s="214" t="n"/>
      <c r="D43" s="215" t="n"/>
      <c r="E43" s="213" t="n"/>
      <c r="F43" s="213" t="n"/>
      <c r="G43" s="214" t="n"/>
      <c r="H43" s="196" t="n"/>
      <c r="I43" s="196" t="n"/>
      <c r="J43" s="196" t="n"/>
      <c r="K43" s="215" t="n"/>
      <c r="L43" s="214" t="n"/>
      <c r="M43" s="196" t="n"/>
      <c r="N43" s="215" t="n"/>
      <c r="O43" s="215" t="n"/>
      <c r="P43" s="213" t="n"/>
    </row>
    <row r="44">
      <c r="A44" s="224" t="n"/>
      <c r="B44" s="233" t="n"/>
      <c r="C44" s="222" t="n"/>
      <c r="D44" s="223" t="n"/>
      <c r="E44" s="224" t="n"/>
      <c r="F44" s="224" t="n"/>
      <c r="G44" s="222" t="n"/>
      <c r="H44" s="225" t="n"/>
      <c r="I44" s="225" t="n"/>
      <c r="J44" s="225" t="n"/>
      <c r="K44" s="223" t="n"/>
      <c r="L44" s="222" t="n"/>
      <c r="M44" s="225" t="n"/>
      <c r="N44" s="223" t="n"/>
      <c r="O44" s="223" t="n"/>
      <c r="P44" s="224" t="n"/>
    </row>
    <row r="45">
      <c r="A45" s="233" t="n"/>
      <c r="B45" s="233" t="n"/>
      <c r="C45" s="217" t="n"/>
      <c r="D45" s="218" t="n"/>
      <c r="E45" s="233" t="n"/>
      <c r="F45" s="233" t="n"/>
      <c r="G45" s="217" t="n"/>
      <c r="H45" s="231" t="n"/>
      <c r="I45" s="231" t="n"/>
      <c r="J45" s="231" t="n"/>
      <c r="K45" s="218" t="n"/>
      <c r="L45" s="217" t="n"/>
      <c r="M45" s="231" t="n"/>
      <c r="N45" s="218" t="n"/>
      <c r="O45" s="218" t="n"/>
      <c r="P45" s="233" t="n"/>
    </row>
    <row r="46">
      <c r="A46" s="213" t="n"/>
      <c r="B46" s="233" t="n"/>
      <c r="C46" s="214" t="n"/>
      <c r="D46" s="215" t="n"/>
      <c r="E46" s="213" t="n"/>
      <c r="F46" s="213" t="n"/>
      <c r="G46" s="214" t="n"/>
      <c r="H46" s="196" t="n"/>
      <c r="I46" s="196" t="n"/>
      <c r="J46" s="196" t="n"/>
      <c r="K46" s="215" t="n"/>
      <c r="L46" s="214" t="n"/>
      <c r="M46" s="196" t="n"/>
      <c r="N46" s="215" t="n"/>
      <c r="O46" s="215" t="n"/>
      <c r="P46" s="213" t="n"/>
    </row>
    <row r="47">
      <c r="A47" s="213" t="n"/>
      <c r="B47" s="233" t="n"/>
      <c r="C47" s="214" t="n"/>
      <c r="D47" s="215" t="n"/>
      <c r="E47" s="213" t="n"/>
      <c r="F47" s="213" t="n"/>
      <c r="G47" s="214" t="n"/>
      <c r="H47" s="196" t="n"/>
      <c r="I47" s="196" t="n"/>
      <c r="J47" s="196" t="n"/>
      <c r="K47" s="215" t="n"/>
      <c r="L47" s="214" t="n"/>
      <c r="M47" s="196" t="n"/>
      <c r="N47" s="215" t="n"/>
      <c r="O47" s="215" t="n"/>
      <c r="P47" s="213" t="n"/>
    </row>
    <row r="48">
      <c r="A48" s="213" t="n"/>
      <c r="B48" s="233" t="n"/>
      <c r="C48" s="214" t="n"/>
      <c r="D48" s="215" t="n"/>
      <c r="E48" s="213" t="n"/>
      <c r="F48" s="213" t="n"/>
      <c r="G48" s="214" t="n"/>
      <c r="H48" s="196" t="n"/>
      <c r="I48" s="196" t="n"/>
      <c r="J48" s="196" t="n"/>
      <c r="K48" s="215" t="n"/>
      <c r="L48" s="214" t="n"/>
      <c r="M48" s="196" t="n"/>
      <c r="N48" s="215" t="n"/>
      <c r="O48" s="215" t="n"/>
      <c r="P48" s="213" t="n"/>
    </row>
    <row r="49">
      <c r="A49" s="233" t="n"/>
      <c r="B49" s="233" t="n"/>
      <c r="C49" s="217" t="n"/>
      <c r="D49" s="218" t="n"/>
      <c r="E49" s="233" t="n"/>
      <c r="F49" s="233" t="n"/>
      <c r="G49" s="217" t="n"/>
      <c r="H49" s="231" t="n"/>
      <c r="I49" s="231" t="n"/>
      <c r="J49" s="231" t="n"/>
      <c r="K49" s="218" t="n"/>
      <c r="L49" s="217" t="n"/>
      <c r="M49" s="231" t="n"/>
      <c r="N49" s="218" t="n"/>
      <c r="O49" s="218" t="n"/>
      <c r="P49" s="233" t="n"/>
    </row>
    <row r="50">
      <c r="A50" s="213" t="n"/>
      <c r="B50" s="233" t="n"/>
      <c r="C50" s="214" t="n"/>
      <c r="D50" s="215" t="n"/>
      <c r="E50" s="213" t="n"/>
      <c r="F50" s="213" t="n"/>
      <c r="G50" s="214" t="n"/>
      <c r="H50" s="196" t="n"/>
      <c r="I50" s="196" t="n"/>
      <c r="J50" s="196" t="n"/>
      <c r="K50" s="215" t="n"/>
      <c r="L50" s="214" t="n"/>
      <c r="M50" s="196" t="n"/>
      <c r="N50" s="215" t="n"/>
      <c r="O50" s="215" t="n"/>
      <c r="P50" s="213" t="n"/>
      <c r="Q50" s="245" t="n"/>
      <c r="R50" s="245" t="n"/>
    </row>
    <row r="51">
      <c r="A51" s="233" t="n"/>
      <c r="B51" s="233" t="n"/>
      <c r="C51" s="217" t="n"/>
      <c r="D51" s="218" t="n"/>
      <c r="E51" s="233" t="n"/>
      <c r="F51" s="233" t="n"/>
      <c r="G51" s="217" t="n"/>
      <c r="H51" s="231" t="n"/>
      <c r="I51" s="231" t="n"/>
      <c r="J51" s="231" t="n"/>
      <c r="K51" s="218" t="n"/>
      <c r="L51" s="217" t="n"/>
      <c r="M51" s="231" t="n"/>
      <c r="N51" s="218" t="n"/>
      <c r="O51" s="218" t="n"/>
      <c r="P51" s="233" t="n"/>
    </row>
    <row r="52">
      <c r="A52" s="233" t="n"/>
      <c r="B52" s="233" t="n"/>
      <c r="C52" s="217" t="n"/>
      <c r="D52" s="218" t="n"/>
      <c r="E52" s="233" t="n"/>
      <c r="F52" s="233" t="n"/>
      <c r="G52" s="217" t="n"/>
      <c r="H52" s="231" t="n"/>
      <c r="I52" s="231" t="n"/>
      <c r="J52" s="231" t="n"/>
      <c r="K52" s="218" t="n"/>
      <c r="L52" s="217" t="n"/>
      <c r="M52" s="231" t="n"/>
      <c r="N52" s="218" t="n"/>
      <c r="O52" s="218" t="n"/>
      <c r="P52" s="233" t="n"/>
    </row>
    <row r="53">
      <c r="A53" s="233" t="n"/>
      <c r="B53" s="233" t="n"/>
      <c r="C53" s="217" t="n"/>
      <c r="D53" s="218" t="n"/>
      <c r="E53" s="233" t="n"/>
      <c r="F53" s="233" t="n"/>
      <c r="G53" s="217" t="n"/>
      <c r="H53" s="231" t="n"/>
      <c r="I53" s="231" t="n"/>
      <c r="J53" s="231" t="n"/>
      <c r="K53" s="218" t="n"/>
      <c r="L53" s="218" t="n"/>
      <c r="M53" s="231" t="n"/>
      <c r="N53" s="218" t="n"/>
      <c r="O53" s="218" t="n"/>
      <c r="P53" s="233" t="n"/>
    </row>
    <row r="54">
      <c r="A54" s="233" t="n"/>
      <c r="B54" s="233" t="n"/>
      <c r="C54" s="217" t="n"/>
      <c r="D54" s="218" t="n"/>
      <c r="E54" s="233" t="n"/>
      <c r="F54" s="233" t="n"/>
      <c r="G54" s="217" t="n"/>
      <c r="H54" s="231" t="n"/>
      <c r="I54" s="231" t="n"/>
      <c r="J54" s="231" t="n"/>
      <c r="K54" s="218" t="n"/>
      <c r="L54" s="217" t="n"/>
      <c r="M54" s="231" t="n"/>
      <c r="N54" s="218" t="n"/>
      <c r="O54" s="218" t="n"/>
      <c r="P54" s="233" t="n"/>
    </row>
    <row r="55">
      <c r="A55" s="233" t="n"/>
      <c r="B55" s="233" t="n"/>
      <c r="C55" s="217" t="n"/>
      <c r="D55" s="217" t="n"/>
      <c r="E55" s="233" t="n"/>
      <c r="F55" s="233" t="n"/>
      <c r="G55" s="217" t="n"/>
      <c r="H55" s="231" t="n"/>
      <c r="I55" s="231" t="n"/>
      <c r="J55" s="231" t="n"/>
      <c r="K55" s="218" t="n"/>
      <c r="L55" s="217" t="n"/>
      <c r="M55" s="231" t="n"/>
      <c r="N55" s="217" t="n"/>
      <c r="O55" s="218" t="n"/>
      <c r="P55" s="233" t="n"/>
      <c r="Q55" s="245" t="n"/>
      <c r="R55" s="245" t="n"/>
    </row>
    <row r="56">
      <c r="A56" s="221" t="n"/>
      <c r="B56" s="233" t="n"/>
      <c r="C56" s="222" t="n"/>
      <c r="D56" s="223" t="n"/>
      <c r="E56" s="224" t="n"/>
      <c r="F56" s="224" t="n"/>
      <c r="G56" s="222" t="n"/>
      <c r="H56" s="225" t="n"/>
      <c r="I56" s="225" t="n"/>
      <c r="J56" s="225" t="n"/>
      <c r="K56" s="223" t="n"/>
      <c r="L56" s="222" t="n"/>
      <c r="M56" s="225" t="n"/>
      <c r="N56" s="223" t="n"/>
      <c r="O56" s="223" t="n"/>
      <c r="P56" s="224" t="n"/>
    </row>
    <row r="57">
      <c r="A57" s="233" t="n"/>
      <c r="B57" s="233" t="n"/>
      <c r="C57" s="214" t="n"/>
      <c r="D57" s="215" t="n"/>
      <c r="E57" s="213" t="n"/>
      <c r="F57" s="213" t="n"/>
      <c r="G57" s="214" t="n"/>
      <c r="H57" s="196" t="n"/>
      <c r="I57" s="196" t="n"/>
      <c r="J57" s="196" t="n"/>
      <c r="K57" s="215" t="n"/>
      <c r="L57" s="214" t="n"/>
      <c r="M57" s="196" t="n"/>
      <c r="N57" s="215" t="n"/>
      <c r="O57" s="215" t="n"/>
      <c r="P57" s="213" t="n"/>
    </row>
    <row r="58">
      <c r="A58" s="233" t="n"/>
      <c r="B58" s="233" t="n"/>
      <c r="C58" s="217" t="n"/>
      <c r="D58" s="218" t="n"/>
      <c r="E58" s="233" t="n"/>
      <c r="F58" s="233" t="n"/>
      <c r="G58" s="217" t="n"/>
      <c r="H58" s="231" t="n"/>
      <c r="I58" s="231" t="n"/>
      <c r="J58" s="231" t="n"/>
      <c r="K58" s="218" t="n"/>
      <c r="L58" s="217" t="n"/>
      <c r="M58" s="231" t="n"/>
      <c r="N58" s="218" t="n"/>
      <c r="O58" s="218" t="n"/>
      <c r="P58" s="233" t="n"/>
    </row>
    <row r="59">
      <c r="A59" s="233" t="n"/>
      <c r="B59" s="233" t="n"/>
      <c r="C59" s="217" t="n"/>
      <c r="D59" s="218" t="n"/>
      <c r="E59" s="233" t="n"/>
      <c r="F59" s="233" t="n"/>
      <c r="G59" s="217" t="n"/>
      <c r="H59" s="231" t="n"/>
      <c r="I59" s="231" t="n"/>
      <c r="J59" s="231" t="n"/>
      <c r="K59" s="218" t="n"/>
      <c r="L59" s="217" t="n"/>
      <c r="M59" s="231" t="n"/>
      <c r="N59" s="218" t="n"/>
      <c r="O59" s="218" t="n"/>
      <c r="P59" s="233" t="n"/>
    </row>
    <row r="60">
      <c r="A60" s="233" t="n"/>
      <c r="B60" s="233" t="n"/>
      <c r="C60" s="217" t="n"/>
      <c r="D60" s="218" t="n"/>
      <c r="E60" s="233" t="n"/>
      <c r="F60" s="233" t="n"/>
      <c r="G60" s="217" t="n"/>
      <c r="H60" s="231" t="n"/>
      <c r="I60" s="231" t="n"/>
      <c r="J60" s="231" t="n"/>
      <c r="K60" s="218" t="n"/>
      <c r="L60" s="217" t="n"/>
      <c r="M60" s="231" t="n"/>
      <c r="N60" s="218" t="n"/>
      <c r="O60" s="218" t="n"/>
      <c r="P60" s="233" t="n"/>
    </row>
    <row r="61" customFormat="1" s="220">
      <c r="A61" s="233" t="n"/>
      <c r="B61" s="233" t="n"/>
      <c r="C61" s="217" t="n"/>
      <c r="D61" s="218" t="n"/>
      <c r="E61" s="233" t="n"/>
      <c r="F61" s="233" t="n"/>
      <c r="G61" s="217" t="n"/>
      <c r="H61" s="231" t="n"/>
      <c r="I61" s="231" t="n"/>
      <c r="J61" s="231" t="n"/>
      <c r="K61" s="218" t="n"/>
      <c r="L61" s="217" t="n"/>
      <c r="M61" s="231" t="n"/>
      <c r="N61" s="218" t="n"/>
      <c r="O61" s="218" t="n"/>
      <c r="P61" s="233" t="n"/>
      <c r="Q61" s="216" t="n"/>
      <c r="R61" s="216" t="n"/>
    </row>
    <row r="62">
      <c r="A62" s="233" t="n"/>
      <c r="B62" s="233" t="n"/>
      <c r="C62" s="217" t="n"/>
      <c r="D62" s="218" t="n"/>
      <c r="E62" s="233" t="n"/>
      <c r="F62" s="233" t="n"/>
      <c r="G62" s="217" t="n"/>
      <c r="H62" s="231" t="n"/>
      <c r="I62" s="231" t="n"/>
      <c r="J62" s="231" t="n"/>
      <c r="K62" s="218" t="n"/>
      <c r="L62" s="217" t="n"/>
      <c r="M62" s="231" t="n"/>
      <c r="N62" s="218" t="n"/>
      <c r="O62" s="218" t="n"/>
      <c r="P62" s="233" t="n"/>
    </row>
    <row r="63">
      <c r="A63" s="233" t="n"/>
      <c r="B63" s="233" t="n"/>
      <c r="C63" s="217" t="n"/>
      <c r="D63" s="218" t="n"/>
      <c r="E63" s="233" t="n"/>
      <c r="F63" s="233" t="n"/>
      <c r="G63" s="217" t="n"/>
      <c r="H63" s="231" t="n"/>
      <c r="I63" s="231" t="n"/>
      <c r="J63" s="231" t="n"/>
      <c r="K63" s="218" t="n"/>
      <c r="L63" s="217" t="n"/>
      <c r="M63" s="231" t="n"/>
      <c r="N63" s="218" t="n"/>
      <c r="O63" s="218" t="n"/>
      <c r="P63" s="233" t="n"/>
    </row>
    <row r="64">
      <c r="A64" s="233" t="n"/>
      <c r="B64" s="233" t="n"/>
      <c r="C64" s="217" t="n"/>
      <c r="D64" s="218" t="n"/>
      <c r="E64" s="233" t="n"/>
      <c r="F64" s="233" t="n"/>
      <c r="G64" s="217" t="n"/>
      <c r="H64" s="231" t="n"/>
      <c r="I64" s="231" t="n"/>
      <c r="J64" s="231" t="n"/>
      <c r="K64" s="218" t="n"/>
      <c r="L64" s="217" t="n"/>
      <c r="M64" s="231" t="n"/>
      <c r="N64" s="218" t="n"/>
      <c r="O64" s="218" t="n"/>
      <c r="P64" s="233" t="n"/>
    </row>
    <row r="65">
      <c r="A65" s="233" t="n"/>
      <c r="B65" s="233" t="n"/>
      <c r="C65" s="217" t="n"/>
      <c r="D65" s="218" t="n"/>
      <c r="E65" s="233" t="n"/>
      <c r="F65" s="233" t="n"/>
      <c r="G65" s="217" t="n"/>
      <c r="H65" s="231" t="n"/>
      <c r="I65" s="231" t="n"/>
      <c r="J65" s="231" t="n"/>
      <c r="K65" s="218" t="n"/>
      <c r="L65" s="217" t="n"/>
      <c r="M65" s="231" t="n"/>
      <c r="N65" s="218" t="n"/>
      <c r="O65" s="218" t="n"/>
      <c r="P65" s="233" t="n"/>
    </row>
    <row r="66">
      <c r="A66" s="233" t="n"/>
      <c r="B66" s="233" t="n"/>
      <c r="C66" s="217" t="n"/>
      <c r="D66" s="218" t="n"/>
      <c r="E66" s="233" t="n"/>
      <c r="F66" s="233" t="n"/>
      <c r="G66" s="217" t="n"/>
      <c r="H66" s="231" t="n"/>
      <c r="I66" s="231" t="n"/>
      <c r="J66" s="231" t="n"/>
      <c r="K66" s="218" t="n"/>
      <c r="L66" s="217" t="n"/>
      <c r="M66" s="231" t="n"/>
      <c r="N66" s="218" t="n"/>
      <c r="O66" s="218" t="n"/>
      <c r="P66" s="233" t="n"/>
    </row>
    <row r="67">
      <c r="A67" s="233" t="n"/>
      <c r="B67" s="233" t="n"/>
      <c r="C67" s="214" t="n"/>
      <c r="D67" s="215" t="n"/>
      <c r="E67" s="213" t="n"/>
      <c r="F67" s="213" t="n"/>
      <c r="G67" s="214" t="n"/>
      <c r="H67" s="196" t="n"/>
      <c r="I67" s="196" t="n"/>
      <c r="J67" s="196" t="n"/>
      <c r="K67" s="215" t="n"/>
      <c r="L67" s="214" t="n"/>
      <c r="M67" s="196" t="n"/>
      <c r="N67" s="215" t="n"/>
      <c r="O67" s="215" t="n"/>
      <c r="P67" s="213" t="n"/>
    </row>
    <row r="68">
      <c r="A68" s="233" t="n"/>
      <c r="B68" s="233" t="n"/>
      <c r="C68" s="217" t="n"/>
      <c r="D68" s="218" t="n"/>
      <c r="E68" s="233" t="n"/>
      <c r="F68" s="233" t="n"/>
      <c r="G68" s="217" t="n"/>
      <c r="H68" s="231" t="n"/>
      <c r="I68" s="231" t="n"/>
      <c r="J68" s="231" t="n"/>
      <c r="K68" s="218" t="n"/>
      <c r="L68" s="217" t="n"/>
      <c r="M68" s="231" t="n"/>
      <c r="N68" s="218" t="n"/>
      <c r="O68" s="218" t="n"/>
      <c r="P68" s="233" t="n"/>
    </row>
    <row r="69">
      <c r="A69" s="233" t="n"/>
      <c r="B69" s="233" t="n"/>
      <c r="C69" s="217" t="n"/>
      <c r="D69" s="218" t="n"/>
      <c r="E69" s="233" t="n"/>
      <c r="F69" s="233" t="n"/>
      <c r="G69" s="217" t="n"/>
      <c r="H69" s="231" t="n"/>
      <c r="I69" s="231" t="n"/>
      <c r="J69" s="231" t="n"/>
      <c r="K69" s="218" t="n"/>
      <c r="L69" s="217" t="n"/>
      <c r="M69" s="231" t="n"/>
      <c r="N69" s="218" t="n"/>
      <c r="O69" s="218" t="n"/>
      <c r="P69" s="233" t="n"/>
    </row>
    <row r="70">
      <c r="A70" s="233" t="n"/>
      <c r="B70" s="233" t="n"/>
      <c r="C70" s="214" t="n"/>
      <c r="D70" s="215" t="n"/>
      <c r="E70" s="213" t="n"/>
      <c r="F70" s="213" t="n"/>
      <c r="G70" s="214" t="n"/>
      <c r="H70" s="196" t="n"/>
      <c r="I70" s="196" t="n"/>
      <c r="J70" s="196" t="n"/>
      <c r="K70" s="215" t="n"/>
      <c r="L70" s="214" t="n"/>
      <c r="M70" s="196" t="n"/>
      <c r="N70" s="215" t="n"/>
      <c r="O70" s="215" t="n"/>
      <c r="P70" s="213" t="n"/>
    </row>
    <row r="71">
      <c r="A71" s="221" t="n"/>
      <c r="B71" s="233" t="n"/>
      <c r="C71" s="222" t="n"/>
      <c r="D71" s="223" t="n"/>
      <c r="E71" s="224" t="n"/>
      <c r="F71" s="224" t="n"/>
      <c r="G71" s="222" t="n"/>
      <c r="H71" s="225" t="n"/>
      <c r="I71" s="225" t="n"/>
      <c r="J71" s="225" t="n"/>
      <c r="K71" s="223" t="n"/>
      <c r="L71" s="222" t="n"/>
      <c r="M71" s="225" t="n"/>
      <c r="N71" s="223" t="n"/>
      <c r="O71" s="223" t="n"/>
      <c r="P71" s="224" t="n"/>
    </row>
    <row r="72">
      <c r="A72" s="233" t="n"/>
      <c r="B72" s="233" t="n"/>
      <c r="C72" s="214" t="n"/>
      <c r="D72" s="215" t="n"/>
      <c r="E72" s="213" t="n"/>
      <c r="F72" s="213" t="n"/>
      <c r="G72" s="214" t="n"/>
      <c r="H72" s="196" t="n"/>
      <c r="I72" s="196" t="n"/>
      <c r="J72" s="196" t="n"/>
      <c r="K72" s="215" t="n"/>
      <c r="L72" s="214" t="n"/>
      <c r="M72" s="196" t="n"/>
      <c r="N72" s="215" t="n"/>
      <c r="O72" s="215" t="n"/>
      <c r="P72" s="213" t="n"/>
    </row>
    <row r="73">
      <c r="A73" s="233" t="n"/>
      <c r="B73" s="233" t="n"/>
      <c r="C73" s="214" t="n"/>
      <c r="D73" s="215" t="n"/>
      <c r="E73" s="213" t="n"/>
      <c r="F73" s="213" t="n"/>
      <c r="G73" s="214" t="n"/>
      <c r="H73" s="196" t="n"/>
      <c r="I73" s="196" t="n"/>
      <c r="J73" s="196" t="n"/>
      <c r="K73" s="215" t="n"/>
      <c r="L73" s="214" t="n"/>
      <c r="M73" s="196" t="n"/>
      <c r="N73" s="215" t="n"/>
      <c r="O73" s="215" t="n"/>
      <c r="P73" s="213" t="n"/>
    </row>
    <row r="74">
      <c r="A74" s="233" t="n"/>
      <c r="B74" s="233" t="n"/>
      <c r="C74" s="217" t="n"/>
      <c r="D74" s="218" t="n"/>
      <c r="E74" s="233" t="n"/>
      <c r="F74" s="233" t="n"/>
      <c r="G74" s="217" t="n"/>
      <c r="H74" s="231" t="n"/>
      <c r="I74" s="231" t="n"/>
      <c r="J74" s="231" t="n"/>
      <c r="K74" s="218" t="n"/>
      <c r="L74" s="217" t="n"/>
      <c r="M74" s="231" t="n"/>
      <c r="N74" s="218" t="n"/>
      <c r="O74" s="218" t="n"/>
      <c r="P74" s="233" t="n"/>
    </row>
    <row r="75">
      <c r="A75" s="233" t="n"/>
      <c r="B75" s="233" t="n"/>
      <c r="C75" s="214" t="n"/>
      <c r="D75" s="215" t="n"/>
      <c r="E75" s="213" t="n"/>
      <c r="F75" s="213" t="n"/>
      <c r="G75" s="214" t="n"/>
      <c r="H75" s="196" t="n"/>
      <c r="I75" s="196" t="n"/>
      <c r="J75" s="196" t="n"/>
      <c r="K75" s="215" t="n"/>
      <c r="L75" s="214" t="n"/>
      <c r="M75" s="196" t="n"/>
      <c r="N75" s="215" t="n"/>
      <c r="O75" s="215" t="n"/>
      <c r="P75" s="213" t="n"/>
    </row>
    <row r="76">
      <c r="A76" s="233" t="n"/>
      <c r="B76" s="233" t="n"/>
      <c r="C76" s="217" t="n"/>
      <c r="D76" s="218" t="n"/>
      <c r="E76" s="233" t="n"/>
      <c r="F76" s="229" t="n"/>
      <c r="G76" s="217" t="n"/>
      <c r="H76" s="231" t="n"/>
      <c r="I76" s="231" t="n"/>
      <c r="J76" s="231" t="n"/>
      <c r="K76" s="218" t="n"/>
      <c r="L76" s="217" t="n"/>
      <c r="M76" s="231" t="n"/>
      <c r="N76" s="218" t="n"/>
      <c r="O76" s="218" t="n"/>
      <c r="P76" s="233" t="n"/>
    </row>
    <row r="77">
      <c r="A77" s="233" t="n"/>
      <c r="B77" s="233" t="n"/>
      <c r="C77" s="217" t="n"/>
      <c r="D77" s="218" t="n"/>
      <c r="E77" s="233" t="n"/>
      <c r="F77" s="233" t="n"/>
      <c r="G77" s="217" t="n"/>
      <c r="H77" s="231" t="n"/>
      <c r="I77" s="231" t="n"/>
      <c r="J77" s="231" t="n"/>
      <c r="K77" s="218" t="n"/>
      <c r="L77" s="217" t="n"/>
      <c r="M77" s="231" t="n"/>
      <c r="N77" s="218" t="n"/>
      <c r="O77" s="218" t="n"/>
      <c r="P77" s="233" t="n"/>
      <c r="Q77" s="220" t="n"/>
      <c r="R77" s="220" t="n"/>
    </row>
    <row r="78">
      <c r="A78" s="221" t="n"/>
      <c r="B78" s="233" t="n"/>
      <c r="C78" s="226" t="n"/>
      <c r="D78" s="227" t="n"/>
      <c r="E78" s="221" t="n"/>
      <c r="F78" s="221" t="n"/>
      <c r="G78" s="226" t="n"/>
      <c r="H78" s="228" t="n"/>
      <c r="I78" s="228" t="n"/>
      <c r="J78" s="228" t="n"/>
      <c r="K78" s="227" t="n"/>
      <c r="L78" s="226" t="n"/>
      <c r="M78" s="228" t="n"/>
      <c r="N78" s="227" t="n"/>
      <c r="O78" s="227" t="n"/>
      <c r="P78" s="221" t="n"/>
      <c r="Q78" s="219" t="n"/>
      <c r="R78" s="219" t="n"/>
    </row>
    <row r="79">
      <c r="A79" s="233" t="n"/>
      <c r="B79" s="233" t="n"/>
      <c r="C79" s="217" t="n"/>
      <c r="D79" s="218" t="n"/>
      <c r="E79" s="233" t="n"/>
      <c r="F79" s="233" t="n"/>
      <c r="G79" s="217" t="n"/>
      <c r="H79" s="231" t="n"/>
      <c r="I79" s="231" t="n"/>
      <c r="J79" s="231" t="n"/>
      <c r="K79" s="218" t="n"/>
      <c r="L79" s="217" t="n"/>
      <c r="M79" s="231" t="n"/>
      <c r="N79" s="218" t="n"/>
      <c r="O79" s="218" t="n"/>
      <c r="P79" s="233" t="n"/>
    </row>
    <row r="80">
      <c r="A80" s="233" t="n"/>
      <c r="B80" s="233" t="n"/>
      <c r="C80" s="217" t="n"/>
      <c r="D80" s="218" t="n"/>
      <c r="E80" s="233" t="n"/>
      <c r="F80" s="233" t="n"/>
      <c r="G80" s="217" t="n"/>
      <c r="H80" s="231" t="n"/>
      <c r="I80" s="231" t="n"/>
      <c r="J80" s="231" t="n"/>
      <c r="K80" s="218" t="n"/>
      <c r="L80" s="217" t="n"/>
      <c r="M80" s="231" t="n"/>
      <c r="N80" s="218" t="n"/>
      <c r="O80" s="218" t="n"/>
      <c r="P80" s="233" t="n"/>
    </row>
    <row r="81">
      <c r="A81" s="221" t="n"/>
      <c r="B81" s="233" t="n"/>
      <c r="C81" s="226" t="n"/>
      <c r="D81" s="227" t="n"/>
      <c r="E81" s="221" t="n"/>
      <c r="F81" s="221" t="n"/>
      <c r="G81" s="226" t="n"/>
      <c r="H81" s="228" t="n"/>
      <c r="I81" s="228" t="n"/>
      <c r="J81" s="228" t="n"/>
      <c r="K81" s="227" t="n"/>
      <c r="L81" s="226" t="n"/>
      <c r="M81" s="228" t="n"/>
      <c r="N81" s="227" t="n"/>
      <c r="O81" s="227" t="n"/>
      <c r="P81" s="221" t="n"/>
    </row>
    <row r="82">
      <c r="A82" s="233" t="n"/>
      <c r="B82" s="233" t="n"/>
      <c r="C82" s="214" t="n"/>
      <c r="D82" s="215" t="n"/>
      <c r="E82" s="213" t="n"/>
      <c r="F82" s="213" t="n"/>
      <c r="G82" s="214" t="n"/>
      <c r="H82" s="196" t="n"/>
      <c r="I82" s="196" t="n"/>
      <c r="J82" s="196" t="n"/>
      <c r="K82" s="215" t="n"/>
      <c r="L82" s="214" t="n"/>
      <c r="M82" s="196" t="n"/>
      <c r="N82" s="215" t="n"/>
      <c r="O82" s="215" t="n"/>
      <c r="P82" s="213" t="n"/>
    </row>
    <row r="83">
      <c r="A83" s="233" t="n"/>
      <c r="B83" s="233" t="n"/>
      <c r="C83" s="217" t="n"/>
      <c r="D83" s="218" t="n"/>
      <c r="E83" s="233" t="n"/>
      <c r="F83" s="233" t="n"/>
      <c r="G83" s="217" t="n"/>
      <c r="H83" s="231" t="n"/>
      <c r="I83" s="231" t="n"/>
      <c r="J83" s="231" t="n"/>
      <c r="K83" s="218" t="n"/>
      <c r="L83" s="217" t="n"/>
      <c r="M83" s="231" t="n"/>
      <c r="N83" s="218" t="n"/>
      <c r="O83" s="218" t="n"/>
      <c r="P83" s="233" t="n"/>
    </row>
    <row r="84">
      <c r="A84" s="233" t="n"/>
      <c r="B84" s="233" t="n"/>
      <c r="C84" s="217" t="n"/>
      <c r="D84" s="218" t="n"/>
      <c r="E84" s="213" t="n"/>
      <c r="F84" s="233" t="n"/>
      <c r="G84" s="217" t="n"/>
      <c r="H84" s="231" t="n"/>
      <c r="I84" s="231" t="n"/>
      <c r="J84" s="231" t="n"/>
      <c r="K84" s="218" t="n"/>
      <c r="L84" s="217" t="n"/>
      <c r="M84" s="231" t="n"/>
      <c r="N84" s="218" t="n"/>
      <c r="O84" s="218" t="n"/>
      <c r="P84" s="233" t="n"/>
    </row>
    <row r="85">
      <c r="A85" s="233" t="n"/>
      <c r="B85" s="233" t="n"/>
      <c r="C85" s="217" t="n"/>
      <c r="D85" s="218" t="n"/>
      <c r="E85" s="233" t="n"/>
      <c r="F85" s="233" t="n"/>
      <c r="G85" s="217" t="n"/>
      <c r="H85" s="231" t="n"/>
      <c r="I85" s="231" t="n"/>
      <c r="J85" s="231" t="n"/>
      <c r="K85" s="218" t="n"/>
      <c r="L85" s="217" t="n"/>
      <c r="M85" s="231" t="n"/>
      <c r="N85" s="218" t="n"/>
      <c r="O85" s="218" t="n"/>
      <c r="P85" s="233" t="n"/>
    </row>
    <row r="86">
      <c r="A86" s="221" t="n"/>
      <c r="B86" s="233" t="n"/>
      <c r="C86" s="226" t="n"/>
      <c r="D86" s="227" t="n"/>
      <c r="E86" s="221" t="n"/>
      <c r="F86" s="221" t="n"/>
      <c r="G86" s="226" t="n"/>
      <c r="H86" s="228" t="n"/>
      <c r="I86" s="228" t="n"/>
      <c r="J86" s="228" t="n"/>
      <c r="K86" s="227" t="n"/>
      <c r="L86" s="226" t="n"/>
      <c r="M86" s="228" t="n"/>
      <c r="N86" s="227" t="n"/>
      <c r="O86" s="227" t="n"/>
      <c r="P86" s="221" t="n"/>
    </row>
    <row r="87">
      <c r="A87" s="221" t="n"/>
      <c r="B87" s="233" t="n"/>
      <c r="C87" s="226" t="n"/>
      <c r="D87" s="227" t="n"/>
      <c r="E87" s="221" t="n"/>
      <c r="F87" s="221" t="n"/>
      <c r="G87" s="226" t="n"/>
      <c r="H87" s="228" t="n"/>
      <c r="I87" s="228" t="n"/>
      <c r="J87" s="228" t="n"/>
      <c r="K87" s="227" t="n"/>
      <c r="L87" s="226" t="n"/>
      <c r="M87" s="228" t="n"/>
      <c r="N87" s="227" t="n"/>
      <c r="O87" s="227" t="n"/>
      <c r="P87" s="221" t="n"/>
    </row>
    <row r="88">
      <c r="A88" s="233" t="n"/>
      <c r="B88" s="233" t="n"/>
      <c r="C88" s="217" t="n"/>
      <c r="D88" s="218" t="n"/>
      <c r="E88" s="233" t="n"/>
      <c r="F88" s="233" t="n"/>
      <c r="G88" s="217" t="n"/>
      <c r="H88" s="231" t="n"/>
      <c r="I88" s="231" t="n"/>
      <c r="J88" s="231" t="n"/>
      <c r="K88" s="218" t="n"/>
      <c r="L88" s="217" t="n"/>
      <c r="M88" s="231" t="n"/>
      <c r="N88" s="218" t="n"/>
      <c r="O88" s="218" t="n"/>
      <c r="P88" s="233" t="n"/>
    </row>
    <row r="89">
      <c r="A89" s="233" t="n"/>
      <c r="B89" s="233" t="n"/>
      <c r="C89" s="214" t="n"/>
      <c r="D89" s="215" t="n"/>
      <c r="E89" s="213" t="n"/>
      <c r="F89" s="213" t="n"/>
      <c r="G89" s="214" t="n"/>
      <c r="H89" s="196" t="n"/>
      <c r="I89" s="196" t="n"/>
      <c r="J89" s="196" t="n"/>
      <c r="K89" s="215" t="n"/>
      <c r="L89" s="214" t="n"/>
      <c r="M89" s="196" t="n"/>
      <c r="N89" s="215" t="n"/>
      <c r="O89" s="215" t="n"/>
      <c r="P89" s="213" t="n"/>
    </row>
    <row r="90">
      <c r="A90" s="233" t="n"/>
      <c r="B90" s="233" t="n"/>
      <c r="C90" s="214" t="n"/>
      <c r="D90" s="215" t="n"/>
      <c r="E90" s="213" t="n"/>
      <c r="F90" s="213" t="n"/>
      <c r="G90" s="214" t="n"/>
      <c r="H90" s="196" t="n"/>
      <c r="I90" s="196" t="n"/>
      <c r="J90" s="196" t="n"/>
      <c r="K90" s="215" t="n"/>
      <c r="L90" s="214" t="n"/>
      <c r="M90" s="196" t="n"/>
      <c r="N90" s="215" t="n"/>
      <c r="O90" s="215" t="n"/>
      <c r="P90" s="213" t="n"/>
    </row>
    <row r="91">
      <c r="A91" s="237" t="n"/>
      <c r="B91" s="233" t="n"/>
      <c r="C91" s="238" t="n"/>
      <c r="D91" s="239" t="n"/>
      <c r="E91" s="240" t="n"/>
      <c r="F91" s="240" t="n"/>
      <c r="G91" s="238" t="n"/>
      <c r="H91" s="241" t="n"/>
      <c r="I91" s="241" t="n"/>
      <c r="J91" s="241" t="n"/>
      <c r="K91" s="239" t="n"/>
      <c r="L91" s="238" t="n"/>
      <c r="M91" s="241" t="n"/>
      <c r="N91" s="239" t="n"/>
      <c r="O91" s="239" t="n"/>
      <c r="P91" s="240" t="n"/>
    </row>
    <row r="92">
      <c r="A92" s="233" t="n"/>
      <c r="B92" s="233" t="n"/>
      <c r="C92" s="214" t="n"/>
      <c r="D92" s="215" t="n"/>
      <c r="E92" s="213" t="n"/>
      <c r="F92" s="213" t="n"/>
      <c r="G92" s="214" t="n"/>
      <c r="H92" s="196" t="n"/>
      <c r="I92" s="196" t="n"/>
      <c r="J92" s="196" t="n"/>
      <c r="K92" s="215" t="n"/>
      <c r="L92" s="214" t="n"/>
      <c r="M92" s="196" t="n"/>
      <c r="N92" s="215" t="n"/>
      <c r="O92" s="215" t="n"/>
      <c r="P92" s="213" t="n"/>
    </row>
    <row r="93">
      <c r="A93" s="233" t="n"/>
      <c r="B93" s="233" t="n"/>
      <c r="C93" s="214" t="n"/>
      <c r="D93" s="215" t="n"/>
      <c r="E93" s="213" t="n"/>
      <c r="F93" s="213" t="n"/>
      <c r="G93" s="214" t="n"/>
      <c r="H93" s="196" t="n"/>
      <c r="I93" s="196" t="n"/>
      <c r="J93" s="196" t="n"/>
      <c r="K93" s="215" t="n"/>
      <c r="L93" s="214" t="n"/>
      <c r="M93" s="196" t="n"/>
      <c r="N93" s="215" t="n"/>
      <c r="O93" s="215" t="n"/>
      <c r="P93" s="213" t="n"/>
    </row>
    <row r="94">
      <c r="A94" s="233" t="n"/>
      <c r="B94" s="233" t="n"/>
      <c r="C94" s="217" t="n"/>
      <c r="D94" s="218" t="n"/>
      <c r="E94" s="233" t="n"/>
      <c r="F94" s="233" t="n"/>
      <c r="G94" s="217" t="n"/>
      <c r="H94" s="231" t="n"/>
      <c r="I94" s="231" t="n"/>
      <c r="J94" s="231" t="n"/>
      <c r="K94" s="218" t="n"/>
      <c r="L94" s="217" t="n"/>
      <c r="M94" s="231" t="n"/>
      <c r="N94" s="218" t="n"/>
      <c r="O94" s="218" t="n"/>
      <c r="P94" s="233" t="n"/>
    </row>
    <row r="95">
      <c r="A95" s="233" t="n"/>
      <c r="B95" s="233" t="n"/>
      <c r="C95" s="217" t="n"/>
      <c r="D95" s="218" t="n"/>
      <c r="E95" s="233" t="n"/>
      <c r="F95" s="233" t="n"/>
      <c r="G95" s="217" t="n"/>
      <c r="H95" s="231" t="n"/>
      <c r="I95" s="231" t="n"/>
      <c r="J95" s="231" t="n"/>
      <c r="K95" s="218" t="n"/>
      <c r="L95" s="217" t="n"/>
      <c r="M95" s="231" t="n"/>
      <c r="N95" s="218" t="n"/>
      <c r="O95" s="218" t="n"/>
      <c r="P95" s="233" t="n"/>
    </row>
    <row r="96">
      <c r="A96" s="233" t="n"/>
      <c r="B96" s="233" t="n"/>
      <c r="C96" s="217" t="n"/>
      <c r="D96" s="218" t="n"/>
      <c r="E96" s="233" t="n"/>
      <c r="F96" s="230" t="n"/>
      <c r="G96" s="217" t="n"/>
      <c r="H96" s="231" t="n"/>
      <c r="I96" s="231" t="n"/>
      <c r="J96" s="231" t="n"/>
      <c r="K96" s="218" t="n"/>
      <c r="L96" s="217" t="n"/>
      <c r="M96" s="231" t="n"/>
      <c r="N96" s="218" t="n"/>
      <c r="O96" s="218" t="n"/>
      <c r="P96" s="233" t="n"/>
    </row>
    <row r="97">
      <c r="A97" s="233" t="n"/>
      <c r="B97" s="233" t="n"/>
      <c r="C97" s="217" t="n"/>
      <c r="D97" s="218" t="n"/>
      <c r="E97" s="233" t="n"/>
      <c r="F97" s="233" t="n"/>
      <c r="G97" s="217" t="n"/>
      <c r="H97" s="231" t="n"/>
      <c r="I97" s="231" t="n"/>
      <c r="J97" s="231" t="n"/>
      <c r="K97" s="218" t="n"/>
      <c r="L97" s="217" t="n"/>
      <c r="M97" s="231" t="n"/>
      <c r="N97" s="218" t="n"/>
      <c r="O97" s="218" t="n"/>
      <c r="P97" s="233" t="n"/>
    </row>
    <row r="98">
      <c r="A98" s="233" t="n"/>
      <c r="B98" s="233" t="n"/>
      <c r="C98" s="217" t="n"/>
      <c r="D98" s="218" t="n"/>
      <c r="E98" s="233" t="n"/>
      <c r="F98" s="233" t="n"/>
      <c r="G98" s="217" t="n"/>
      <c r="H98" s="231" t="n"/>
      <c r="I98" s="231" t="n"/>
      <c r="J98" s="231" t="n"/>
      <c r="K98" s="218" t="n"/>
      <c r="L98" s="217" t="n"/>
      <c r="M98" s="231" t="n"/>
      <c r="N98" s="218" t="n"/>
      <c r="O98" s="218" t="n"/>
      <c r="P98" s="233" t="n"/>
      <c r="Q98" s="232" t="n"/>
      <c r="R98" s="232" t="n"/>
    </row>
    <row r="99">
      <c r="A99" s="233" t="n"/>
      <c r="B99" s="233" t="n"/>
      <c r="C99" s="214" t="n"/>
      <c r="D99" s="215" t="n"/>
      <c r="E99" s="213" t="n"/>
      <c r="F99" s="213" t="n"/>
      <c r="G99" s="214" t="n"/>
      <c r="H99" s="196" t="n"/>
      <c r="I99" s="196" t="n"/>
      <c r="J99" s="196" t="n"/>
      <c r="K99" s="215" t="n"/>
      <c r="L99" s="214" t="n"/>
      <c r="M99" s="196" t="n"/>
      <c r="N99" s="215" t="n"/>
      <c r="O99" s="215" t="n"/>
      <c r="P99" s="213" t="n"/>
    </row>
    <row r="100">
      <c r="A100" s="233" t="n"/>
      <c r="B100" s="233" t="n"/>
      <c r="C100" s="217" t="n"/>
      <c r="D100" s="218" t="n"/>
      <c r="E100" s="233" t="n"/>
      <c r="F100" s="233" t="n"/>
      <c r="G100" s="217" t="n"/>
      <c r="H100" s="231" t="n"/>
      <c r="I100" s="231" t="n"/>
      <c r="J100" s="231" t="n"/>
      <c r="K100" s="218" t="n"/>
      <c r="L100" s="217" t="n"/>
      <c r="M100" s="231" t="n"/>
      <c r="N100" s="218" t="n"/>
      <c r="O100" s="218" t="n"/>
      <c r="P100" s="233" t="n"/>
    </row>
    <row r="101">
      <c r="A101" s="221" t="n"/>
      <c r="B101" s="233" t="n"/>
      <c r="C101" s="222" t="n"/>
      <c r="D101" s="223" t="n"/>
      <c r="E101" s="224" t="n"/>
      <c r="F101" s="224" t="n"/>
      <c r="G101" s="222" t="n"/>
      <c r="H101" s="225" t="n"/>
      <c r="I101" s="225" t="n"/>
      <c r="J101" s="225" t="n"/>
      <c r="K101" s="223" t="n"/>
      <c r="L101" s="222" t="n"/>
      <c r="M101" s="225" t="n"/>
      <c r="N101" s="223" t="n"/>
      <c r="O101" s="223" t="n"/>
      <c r="P101" s="224" t="n"/>
    </row>
    <row r="102">
      <c r="A102" s="233" t="n"/>
      <c r="B102" s="233" t="n"/>
      <c r="C102" s="217" t="n"/>
      <c r="D102" s="218" t="n"/>
      <c r="E102" s="233" t="n"/>
      <c r="F102" s="233" t="n"/>
      <c r="G102" s="217" t="n"/>
      <c r="H102" s="231" t="n"/>
      <c r="I102" s="231" t="n"/>
      <c r="J102" s="231" t="n"/>
      <c r="K102" s="218" t="n"/>
      <c r="L102" s="217" t="n"/>
      <c r="M102" s="231" t="n"/>
      <c r="N102" s="218" t="n"/>
      <c r="O102" s="218" t="n"/>
      <c r="P102" s="233" t="n"/>
    </row>
    <row r="103" customFormat="1" s="245">
      <c r="A103" s="233" t="n"/>
      <c r="B103" s="233" t="n"/>
      <c r="C103" s="217" t="n"/>
      <c r="D103" s="218" t="n"/>
      <c r="E103" s="233" t="n"/>
      <c r="F103" s="233" t="n"/>
      <c r="G103" s="217" t="n"/>
      <c r="H103" s="231" t="n"/>
      <c r="I103" s="231" t="n"/>
      <c r="J103" s="231" t="n"/>
      <c r="K103" s="218" t="n"/>
      <c r="L103" s="217" t="n"/>
      <c r="M103" s="231" t="n"/>
      <c r="N103" s="218" t="n"/>
      <c r="O103" s="218" t="n"/>
      <c r="P103" s="233" t="n"/>
      <c r="Q103" s="216" t="n"/>
      <c r="R103" s="216" t="n"/>
    </row>
    <row r="104">
      <c r="A104" s="233" t="n"/>
      <c r="B104" s="233" t="n"/>
      <c r="C104" s="217" t="n"/>
      <c r="D104" s="218" t="n"/>
      <c r="E104" s="233" t="n"/>
      <c r="F104" s="233" t="n"/>
      <c r="G104" s="217" t="n"/>
      <c r="H104" s="231" t="n"/>
      <c r="I104" s="231" t="n"/>
      <c r="J104" s="231" t="n"/>
      <c r="K104" s="218" t="n"/>
      <c r="L104" s="217" t="n"/>
      <c r="M104" s="231" t="n"/>
      <c r="N104" s="218" t="n"/>
      <c r="O104" s="218" t="n"/>
      <c r="P104" s="233" t="n"/>
    </row>
    <row r="105">
      <c r="A105" s="233" t="n"/>
      <c r="B105" s="233" t="n"/>
      <c r="C105" s="217" t="n"/>
      <c r="D105" s="218" t="n"/>
      <c r="E105" s="233" t="n"/>
      <c r="F105" s="233" t="n"/>
      <c r="G105" s="217" t="n"/>
      <c r="H105" s="231" t="n"/>
      <c r="I105" s="231" t="n"/>
      <c r="J105" s="231" t="n"/>
      <c r="K105" s="218" t="n"/>
      <c r="L105" s="217" t="n"/>
      <c r="M105" s="231" t="n"/>
      <c r="N105" s="218" t="n"/>
      <c r="O105" s="218" t="n"/>
      <c r="P105" s="233" t="n"/>
    </row>
    <row r="106" customFormat="1" s="220">
      <c r="A106" s="233" t="n"/>
      <c r="B106" s="233" t="n"/>
      <c r="C106" s="217" t="n"/>
      <c r="D106" s="218" t="n"/>
      <c r="E106" s="233" t="n"/>
      <c r="F106" s="233" t="n"/>
      <c r="G106" s="217" t="n"/>
      <c r="H106" s="231" t="n"/>
      <c r="I106" s="231" t="n"/>
      <c r="J106" s="231" t="n"/>
      <c r="K106" s="218" t="n"/>
      <c r="L106" s="217" t="n"/>
      <c r="M106" s="231" t="n"/>
      <c r="N106" s="218" t="n"/>
      <c r="O106" s="218" t="n"/>
      <c r="P106" s="233" t="n"/>
      <c r="Q106" s="216" t="n"/>
      <c r="R106" s="216" t="n"/>
    </row>
    <row r="107">
      <c r="A107" s="233" t="n"/>
      <c r="B107" s="233" t="n"/>
      <c r="C107" s="217" t="n"/>
      <c r="D107" s="215" t="n"/>
      <c r="E107" s="213" t="n"/>
      <c r="F107" s="213" t="n"/>
      <c r="G107" s="214" t="n"/>
      <c r="H107" s="196" t="n"/>
      <c r="I107" s="196" t="n"/>
      <c r="J107" s="196" t="n"/>
      <c r="K107" s="215" t="n"/>
      <c r="L107" s="214" t="n"/>
      <c r="M107" s="196" t="n"/>
      <c r="N107" s="215" t="n"/>
      <c r="O107" s="215" t="n"/>
      <c r="P107" s="213" t="n"/>
    </row>
    <row r="108">
      <c r="A108" s="233" t="n"/>
      <c r="B108" s="233" t="n"/>
      <c r="C108" s="214" t="n"/>
      <c r="D108" s="215" t="n"/>
      <c r="E108" s="213" t="n"/>
      <c r="F108" s="213" t="n"/>
      <c r="G108" s="214" t="n"/>
      <c r="H108" s="196" t="n"/>
      <c r="I108" s="196" t="n"/>
      <c r="J108" s="196" t="n"/>
      <c r="K108" s="215" t="n"/>
      <c r="L108" s="214" t="n"/>
      <c r="M108" s="196" t="n"/>
      <c r="N108" s="215" t="n"/>
      <c r="O108" s="215" t="n"/>
      <c r="P108" s="213" t="n"/>
    </row>
    <row r="109" customFormat="1" s="245">
      <c r="A109" s="233" t="n"/>
      <c r="B109" s="233" t="n"/>
      <c r="C109" s="214" t="n"/>
      <c r="D109" s="218" t="n"/>
      <c r="E109" s="213" t="n"/>
      <c r="F109" s="213" t="n"/>
      <c r="G109" s="214" t="n"/>
      <c r="H109" s="196" t="n"/>
      <c r="I109" s="196" t="n"/>
      <c r="J109" s="196" t="n"/>
      <c r="K109" s="215" t="n"/>
      <c r="L109" s="214" t="n"/>
      <c r="M109" s="196" t="n"/>
      <c r="N109" s="215" t="n"/>
      <c r="O109" s="215" t="n"/>
      <c r="P109" s="213" t="n"/>
      <c r="Q109" s="216" t="n"/>
      <c r="R109" s="216" t="n"/>
    </row>
    <row r="110">
      <c r="A110" s="221" t="n"/>
      <c r="B110" s="233" t="n"/>
      <c r="C110" s="222" t="n"/>
      <c r="D110" s="223" t="n"/>
      <c r="E110" s="224" t="n"/>
      <c r="F110" s="224" t="n"/>
      <c r="G110" s="222" t="n"/>
      <c r="H110" s="225" t="n"/>
      <c r="I110" s="225" t="n"/>
      <c r="J110" s="225" t="n"/>
      <c r="K110" s="223" t="n"/>
      <c r="L110" s="222" t="n"/>
      <c r="M110" s="225" t="n"/>
      <c r="N110" s="223" t="n"/>
      <c r="O110" s="223" t="n"/>
      <c r="P110" s="224" t="n"/>
    </row>
    <row r="111">
      <c r="A111" s="233" t="n"/>
      <c r="B111" s="233" t="n"/>
      <c r="C111" s="214" t="n"/>
      <c r="D111" s="215" t="n"/>
      <c r="E111" s="213" t="n"/>
      <c r="F111" s="213" t="n"/>
      <c r="G111" s="214" t="n"/>
      <c r="H111" s="196" t="n"/>
      <c r="I111" s="196" t="n"/>
      <c r="J111" s="196" t="n"/>
      <c r="K111" s="215" t="n"/>
      <c r="L111" s="214" t="n"/>
      <c r="M111" s="196" t="n"/>
      <c r="N111" s="215" t="n"/>
      <c r="O111" s="215" t="n"/>
      <c r="P111" s="213" t="n"/>
    </row>
    <row r="112">
      <c r="A112" s="233" t="n"/>
      <c r="B112" s="233" t="n"/>
      <c r="C112" s="214" t="n"/>
      <c r="D112" s="215" t="n"/>
      <c r="E112" s="213" t="n"/>
      <c r="F112" s="213" t="n"/>
      <c r="G112" s="214" t="n"/>
      <c r="H112" s="196" t="n"/>
      <c r="I112" s="196" t="n"/>
      <c r="J112" s="196" t="n"/>
      <c r="K112" s="215" t="n"/>
      <c r="L112" s="214" t="n"/>
      <c r="M112" s="196" t="n"/>
      <c r="N112" s="215" t="n"/>
      <c r="O112" s="215" t="n"/>
      <c r="P112" s="213" t="n"/>
    </row>
    <row r="113">
      <c r="A113" s="233" t="n"/>
      <c r="B113" s="233" t="n"/>
      <c r="C113" s="214" t="n"/>
      <c r="D113" s="215" t="n"/>
      <c r="E113" s="213" t="n"/>
      <c r="F113" s="213" t="n"/>
      <c r="G113" s="214" t="n"/>
      <c r="H113" s="196" t="n"/>
      <c r="I113" s="196" t="n"/>
      <c r="J113" s="196" t="n"/>
      <c r="K113" s="215" t="n"/>
      <c r="L113" s="214" t="n"/>
      <c r="M113" s="196" t="n"/>
      <c r="N113" s="215" t="n"/>
      <c r="O113" s="215" t="n"/>
      <c r="P113" s="213" t="n"/>
    </row>
    <row r="114">
      <c r="A114" s="233" t="n"/>
      <c r="B114" s="233" t="n"/>
      <c r="C114" s="217" t="n"/>
      <c r="D114" s="218" t="n"/>
      <c r="E114" s="233" t="n"/>
      <c r="F114" s="233" t="n"/>
      <c r="G114" s="217" t="n"/>
      <c r="H114" s="231" t="n"/>
      <c r="I114" s="231" t="n"/>
      <c r="J114" s="231" t="n"/>
      <c r="K114" s="218" t="n"/>
      <c r="L114" s="217" t="n"/>
      <c r="M114" s="231" t="n"/>
      <c r="N114" s="218" t="n"/>
      <c r="O114" s="218" t="n"/>
      <c r="P114" s="233" t="n"/>
    </row>
    <row r="115">
      <c r="A115" s="233" t="n"/>
      <c r="B115" s="233" t="n"/>
      <c r="C115" s="217" t="n"/>
      <c r="D115" s="218" t="n"/>
      <c r="E115" s="233" t="n"/>
      <c r="F115" s="233" t="n"/>
      <c r="G115" s="217" t="n"/>
      <c r="H115" s="231" t="n"/>
      <c r="I115" s="231" t="n"/>
      <c r="J115" s="231" t="n"/>
      <c r="K115" s="218" t="n"/>
      <c r="L115" s="217" t="n"/>
      <c r="M115" s="231" t="n"/>
      <c r="N115" s="218" t="n"/>
      <c r="O115" s="218" t="n"/>
      <c r="P115" s="233" t="n"/>
    </row>
    <row r="116">
      <c r="A116" s="233" t="n"/>
      <c r="B116" s="233" t="n"/>
      <c r="C116" s="214" t="n"/>
      <c r="D116" s="215" t="n"/>
      <c r="E116" s="213" t="n"/>
      <c r="F116" s="213" t="n"/>
      <c r="G116" s="214" t="n"/>
      <c r="H116" s="196" t="n"/>
      <c r="I116" s="196" t="n"/>
      <c r="J116" s="196" t="n"/>
      <c r="K116" s="215" t="n"/>
      <c r="L116" s="214" t="n"/>
      <c r="M116" s="196" t="n"/>
      <c r="N116" s="215" t="n"/>
      <c r="O116" s="215" t="n"/>
      <c r="P116" s="213" t="n"/>
    </row>
    <row r="117" ht="1.95" customHeight="1" s="268"/>
    <row r="118" ht="1.95" customHeight="1" s="268"/>
    <row r="119" ht="1.95" customHeight="1" s="268"/>
    <row r="120" ht="1.95" customHeight="1" s="268"/>
    <row r="121" ht="1.95" customHeight="1" s="268"/>
    <row r="122" ht="1.95" customHeight="1" s="268"/>
    <row r="123" ht="1.95" customHeight="1" s="268"/>
    <row r="124" ht="1.95" customHeight="1" s="268"/>
    <row r="125" ht="1.95" customHeight="1" s="268"/>
    <row r="126" ht="1.95" customHeight="1" s="268"/>
    <row r="127" ht="1.95" customHeight="1" s="268"/>
    <row r="128" ht="1.95" customHeight="1" s="268"/>
    <row r="129" ht="1.95" customHeight="1" s="268"/>
    <row r="130" ht="1.95" customHeight="1" s="268"/>
    <row r="131" ht="1.95" customHeight="1" s="268"/>
    <row r="132" ht="1.95" customHeight="1" s="268"/>
    <row r="133" ht="1.95" customHeight="1" s="268"/>
    <row r="134" ht="1.95" customHeight="1" s="268"/>
    <row r="135" ht="1.95" customHeight="1" s="268"/>
  </sheetData>
  <mergeCells count="3">
    <mergeCell ref="N1:O1"/>
    <mergeCell ref="A1:E2"/>
    <mergeCell ref="G1:J1"/>
  </mergeCells>
  <pageMargins left="0.1181102362204725" right="0.1181102362204725" top="0.2755905511811024" bottom="0.6299212598425197" header="0.3149606299212598" footer="0.3149606299212598"/>
  <pageSetup orientation="portrait" paperSize="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2"/>
  <sheetViews>
    <sheetView zoomScale="130" zoomScaleNormal="130" workbookViewId="0">
      <selection activeCell="C5" sqref="C5"/>
    </sheetView>
  </sheetViews>
  <sheetFormatPr baseColWidth="8" defaultColWidth="10" defaultRowHeight="13.8"/>
  <cols>
    <col width="3.5546875" bestFit="1" customWidth="1" style="120" min="1" max="2"/>
    <col width="4.77734375" customWidth="1" style="143" min="3" max="3"/>
    <col width="7.77734375" customWidth="1" style="144" min="4" max="4"/>
    <col width="6.88671875" bestFit="1" customWidth="1" style="120" min="5" max="5"/>
    <col width="2.5546875" customWidth="1" style="120" min="6" max="6"/>
    <col width="7" customWidth="1" style="143" min="7" max="7"/>
    <col width="4.21875" customWidth="1" style="141" min="8" max="10"/>
    <col width="3.88671875" customWidth="1" style="144" min="11" max="11"/>
    <col width="4.77734375" customWidth="1" style="143" min="12" max="12"/>
    <col width="7.21875" bestFit="1" customWidth="1" style="141" min="13" max="13"/>
    <col width="11.6640625" bestFit="1" customWidth="1" style="144" min="14" max="14"/>
    <col width="4.44140625" bestFit="1" customWidth="1" style="144" min="15" max="15"/>
    <col width="5.109375" bestFit="1" customWidth="1" style="120" min="16" max="16"/>
    <col width="0.77734375" customWidth="1" style="120" min="17" max="24"/>
    <col width="10" customWidth="1" style="120" min="25" max="25"/>
    <col width="10" customWidth="1" style="120" min="26" max="16384"/>
  </cols>
  <sheetData>
    <row r="1" ht="14.4" customFormat="1" customHeight="1" s="141">
      <c r="A1" s="320" t="n"/>
      <c r="B1" s="305" t="n"/>
      <c r="C1" s="306" t="n"/>
      <c r="D1" s="296" t="n"/>
      <c r="E1" s="319" t="n"/>
      <c r="F1" s="302" t="n"/>
      <c r="G1" s="302" t="n"/>
      <c r="H1" s="302" t="n"/>
      <c r="I1" s="303" t="n"/>
      <c r="J1" s="295" t="n"/>
      <c r="K1" s="296" t="n"/>
      <c r="L1" s="176" t="n"/>
      <c r="M1" s="295" t="n"/>
      <c r="N1" s="319" t="n"/>
      <c r="O1" s="303" t="n"/>
      <c r="P1" s="295" t="n"/>
    </row>
    <row r="2" customFormat="1" s="141">
      <c r="A2" s="307" t="n"/>
      <c r="B2" s="308" t="n"/>
      <c r="C2" s="309" t="n"/>
      <c r="D2" s="296" t="n"/>
      <c r="E2" s="319" t="n"/>
      <c r="F2" s="295" t="n"/>
      <c r="G2" s="176" t="n"/>
      <c r="H2" s="295" t="n"/>
      <c r="I2" s="295" t="n"/>
      <c r="J2" s="295" t="n"/>
      <c r="K2" s="296" t="n"/>
      <c r="L2" s="176" t="n"/>
      <c r="M2" s="295" t="n"/>
      <c r="N2" s="296" t="n"/>
      <c r="O2" s="296" t="n"/>
      <c r="P2" s="295" t="n"/>
    </row>
    <row r="3">
      <c r="A3" s="161" t="n"/>
      <c r="B3" s="161" t="n"/>
      <c r="C3" s="134" t="n"/>
      <c r="D3" s="135" t="n"/>
      <c r="E3" s="161" t="n"/>
      <c r="F3" s="161" t="n"/>
      <c r="G3" s="134" t="n"/>
      <c r="H3" s="295" t="n"/>
      <c r="I3" s="295" t="n"/>
      <c r="J3" s="295" t="n"/>
      <c r="K3" s="135" t="n"/>
      <c r="L3" s="134" t="n"/>
      <c r="M3" s="161" t="n"/>
      <c r="N3" s="135" t="n"/>
      <c r="O3" s="135" t="n"/>
      <c r="P3" s="161" t="n"/>
    </row>
    <row r="4">
      <c r="A4" s="177" t="n"/>
      <c r="B4" s="177" t="n"/>
      <c r="C4" s="178" t="n"/>
      <c r="D4" s="179" t="n"/>
      <c r="E4" s="177" t="n"/>
      <c r="F4" s="177" t="n"/>
      <c r="G4" s="178" t="n"/>
      <c r="H4" s="211" t="n"/>
      <c r="I4" s="211" t="n"/>
      <c r="J4" s="211" t="n"/>
      <c r="K4" s="179" t="n"/>
      <c r="L4" s="178" t="n"/>
      <c r="M4" s="177" t="n"/>
      <c r="N4" s="179" t="n"/>
      <c r="O4" s="179" t="n"/>
      <c r="P4" s="177" t="n"/>
    </row>
    <row r="5">
      <c r="A5" s="187" t="n"/>
      <c r="B5" s="187" t="n"/>
      <c r="C5" s="158" t="n"/>
      <c r="D5" s="159" t="n"/>
      <c r="E5" s="187" t="n"/>
      <c r="F5" s="187" t="n"/>
      <c r="G5" s="158" t="n"/>
      <c r="H5" s="210" t="n"/>
      <c r="I5" s="210" t="n"/>
      <c r="J5" s="210" t="n"/>
      <c r="K5" s="159" t="n"/>
      <c r="L5" s="158" t="n"/>
      <c r="M5" s="187" t="n"/>
      <c r="N5" s="159" t="n"/>
      <c r="O5" s="159" t="n"/>
      <c r="P5" s="187" t="n"/>
    </row>
    <row r="6">
      <c r="A6" s="187" t="n"/>
      <c r="B6" s="187" t="n"/>
      <c r="C6" s="158" t="n"/>
      <c r="D6" s="159" t="n"/>
      <c r="E6" s="187" t="n"/>
      <c r="F6" s="187" t="n"/>
      <c r="G6" s="158" t="n"/>
      <c r="H6" s="210" t="n"/>
      <c r="I6" s="210" t="n"/>
      <c r="J6" s="210" t="n"/>
      <c r="K6" s="159" t="n"/>
      <c r="L6" s="158" t="n"/>
      <c r="M6" s="187" t="n"/>
      <c r="N6" s="159" t="n"/>
      <c r="O6" s="159" t="n"/>
      <c r="P6" s="187" t="n"/>
    </row>
    <row r="7">
      <c r="A7" s="194" t="n"/>
      <c r="B7" s="194" t="n"/>
      <c r="C7" s="180" t="n"/>
      <c r="D7" s="181" t="n"/>
      <c r="E7" s="194" t="n"/>
      <c r="F7" s="194" t="n"/>
      <c r="G7" s="180" t="n"/>
      <c r="H7" s="212" t="n"/>
      <c r="I7" s="212" t="n"/>
      <c r="J7" s="212" t="n"/>
      <c r="K7" s="181" t="n"/>
      <c r="L7" s="180" t="n"/>
      <c r="M7" s="194" t="n"/>
      <c r="N7" s="181" t="n"/>
      <c r="O7" s="181" t="n"/>
      <c r="P7" s="194" t="n"/>
    </row>
    <row r="8">
      <c r="A8" s="187" t="n"/>
      <c r="B8" s="187" t="n"/>
      <c r="C8" s="158" t="n"/>
      <c r="D8" s="159" t="n"/>
      <c r="E8" s="187" t="n"/>
      <c r="F8" s="187" t="n"/>
      <c r="G8" s="158" t="n"/>
      <c r="H8" s="210" t="n"/>
      <c r="I8" s="210" t="n"/>
      <c r="J8" s="210" t="n"/>
      <c r="K8" s="159" t="n"/>
      <c r="L8" s="158" t="n"/>
      <c r="M8" s="187" t="n"/>
      <c r="N8" s="159" t="n"/>
      <c r="O8" s="159" t="n"/>
      <c r="P8" s="187" t="n"/>
    </row>
    <row r="9">
      <c r="A9" s="194" t="n"/>
      <c r="B9" s="194" t="n"/>
      <c r="C9" s="180" t="n"/>
      <c r="D9" s="181" t="n"/>
      <c r="E9" s="194" t="n"/>
      <c r="F9" s="194" t="n"/>
      <c r="G9" s="180" t="n"/>
      <c r="H9" s="212" t="n"/>
      <c r="I9" s="212" t="n"/>
      <c r="J9" s="212" t="n"/>
      <c r="K9" s="181" t="n"/>
      <c r="L9" s="180" t="n"/>
      <c r="M9" s="194" t="n"/>
      <c r="N9" s="181" t="n"/>
      <c r="O9" s="181" t="n"/>
      <c r="P9" s="194" t="n"/>
    </row>
    <row r="10">
      <c r="A10" s="161" t="n"/>
      <c r="B10" s="187" t="n"/>
      <c r="C10" s="134" t="n"/>
      <c r="D10" s="135" t="n"/>
      <c r="E10" s="161" t="n"/>
      <c r="F10" s="161" t="n"/>
      <c r="G10" s="134" t="n"/>
      <c r="H10" s="295" t="n"/>
      <c r="I10" s="295" t="n"/>
      <c r="J10" s="295" t="n"/>
      <c r="K10" s="135" t="n"/>
      <c r="L10" s="134" t="n"/>
      <c r="M10" s="161" t="n"/>
      <c r="N10" s="135" t="n"/>
      <c r="O10" s="135" t="n"/>
      <c r="P10" s="161" t="n"/>
    </row>
    <row r="11">
      <c r="A11" s="161" t="n"/>
      <c r="B11" s="187" t="n"/>
      <c r="C11" s="134" t="n"/>
      <c r="D11" s="135" t="n"/>
      <c r="E11" s="161" t="n"/>
      <c r="F11" s="161" t="n"/>
      <c r="G11" s="134" t="n"/>
      <c r="H11" s="295" t="n"/>
      <c r="I11" s="295" t="n"/>
      <c r="J11" s="295" t="n"/>
      <c r="K11" s="135" t="n"/>
      <c r="L11" s="134" t="n"/>
      <c r="M11" s="161" t="n"/>
      <c r="N11" s="135" t="n"/>
      <c r="O11" s="135" t="n"/>
      <c r="P11" s="161" t="n"/>
    </row>
    <row r="12">
      <c r="A12" s="177" t="n"/>
      <c r="B12" s="194" t="n"/>
      <c r="C12" s="178" t="n"/>
      <c r="D12" s="179" t="n"/>
      <c r="E12" s="177" t="n"/>
      <c r="F12" s="177" t="n"/>
      <c r="G12" s="178" t="n"/>
      <c r="H12" s="211" t="n"/>
      <c r="I12" s="211" t="n"/>
      <c r="J12" s="211" t="n"/>
      <c r="K12" s="179" t="n"/>
      <c r="L12" s="178" t="n"/>
      <c r="M12" s="177" t="n"/>
      <c r="N12" s="179" t="n"/>
      <c r="O12" s="179" t="n"/>
      <c r="P12" s="177" t="n"/>
    </row>
    <row r="13">
      <c r="A13" s="187" t="n"/>
      <c r="B13" s="187" t="n"/>
      <c r="C13" s="158" t="n"/>
      <c r="D13" s="159" t="n"/>
      <c r="E13" s="187" t="n"/>
      <c r="F13" s="187" t="n"/>
      <c r="G13" s="158" t="n"/>
      <c r="H13" s="210" t="n"/>
      <c r="I13" s="210" t="n"/>
      <c r="J13" s="210" t="n"/>
      <c r="K13" s="159" t="n"/>
      <c r="L13" s="158" t="n"/>
      <c r="M13" s="187" t="n"/>
      <c r="N13" s="159" t="n"/>
      <c r="O13" s="159" t="n"/>
      <c r="P13" s="187" t="n"/>
    </row>
    <row r="14">
      <c r="A14" s="161" t="n"/>
      <c r="B14" s="187" t="n"/>
      <c r="C14" s="134" t="n"/>
      <c r="D14" s="135" t="n"/>
      <c r="E14" s="161" t="n"/>
      <c r="F14" s="161" t="n"/>
      <c r="G14" s="134" t="n"/>
      <c r="H14" s="295" t="n"/>
      <c r="I14" s="295" t="n"/>
      <c r="J14" s="295" t="n"/>
      <c r="K14" s="135" t="n"/>
      <c r="L14" s="134" t="n"/>
      <c r="M14" s="161" t="n"/>
      <c r="N14" s="135" t="n"/>
      <c r="O14" s="135" t="n"/>
      <c r="P14" s="161" t="n"/>
    </row>
    <row r="15">
      <c r="A15" s="194" t="n"/>
      <c r="B15" s="194" t="n"/>
      <c r="C15" s="180" t="n"/>
      <c r="D15" s="181" t="n"/>
      <c r="E15" s="194" t="n"/>
      <c r="F15" s="194" t="n"/>
      <c r="G15" s="180" t="n"/>
      <c r="H15" s="212" t="n"/>
      <c r="I15" s="212" t="n"/>
      <c r="J15" s="212" t="n"/>
      <c r="K15" s="181" t="n"/>
      <c r="L15" s="180" t="n"/>
      <c r="M15" s="194" t="n"/>
      <c r="N15" s="181" t="n"/>
      <c r="O15" s="181" t="n"/>
      <c r="P15" s="194" t="n"/>
    </row>
    <row r="16">
      <c r="A16" s="161" t="n"/>
      <c r="B16" s="187" t="n"/>
      <c r="C16" s="134" t="n"/>
      <c r="D16" s="135" t="n"/>
      <c r="E16" s="161" t="n"/>
      <c r="F16" s="161" t="n"/>
      <c r="G16" s="134" t="n"/>
      <c r="H16" s="295" t="n"/>
      <c r="I16" s="295" t="n"/>
      <c r="J16" s="295" t="n"/>
      <c r="K16" s="135" t="n"/>
      <c r="L16" s="134" t="n"/>
      <c r="M16" s="161" t="n"/>
      <c r="N16" s="135" t="n"/>
      <c r="O16" s="135" t="n"/>
      <c r="P16" s="161" t="n"/>
    </row>
    <row r="17">
      <c r="A17" s="161" t="n"/>
      <c r="B17" s="187" t="n"/>
      <c r="C17" s="134" t="n"/>
      <c r="D17" s="135" t="n"/>
      <c r="E17" s="161" t="n"/>
      <c r="F17" s="161" t="n"/>
      <c r="G17" s="134" t="n"/>
      <c r="H17" s="295" t="n"/>
      <c r="I17" s="295" t="n"/>
      <c r="J17" s="295" t="n"/>
      <c r="K17" s="135" t="n"/>
      <c r="L17" s="134" t="n"/>
      <c r="M17" s="161" t="n"/>
      <c r="N17" s="135" t="n"/>
      <c r="O17" s="135" t="n"/>
      <c r="P17" s="161" t="n"/>
    </row>
    <row r="18">
      <c r="A18" s="161" t="n"/>
      <c r="B18" s="187" t="n"/>
      <c r="C18" s="134" t="n"/>
      <c r="D18" s="135" t="n"/>
      <c r="E18" s="161" t="n"/>
      <c r="F18" s="161" t="n"/>
      <c r="G18" s="134" t="n"/>
      <c r="H18" s="295" t="n"/>
      <c r="I18" s="295" t="n"/>
      <c r="J18" s="295" t="n"/>
      <c r="K18" s="135" t="n"/>
      <c r="L18" s="134" t="n"/>
      <c r="M18" s="161" t="n"/>
      <c r="N18" s="135" t="n"/>
      <c r="O18" s="135" t="n"/>
      <c r="P18" s="161" t="n"/>
    </row>
    <row r="19">
      <c r="A19" s="187" t="n"/>
      <c r="B19" s="187" t="n"/>
      <c r="C19" s="158" t="n"/>
      <c r="D19" s="159" t="n"/>
      <c r="E19" s="187" t="n"/>
      <c r="F19" s="187" t="n"/>
      <c r="G19" s="158" t="n"/>
      <c r="H19" s="210" t="n"/>
      <c r="I19" s="210" t="n"/>
      <c r="J19" s="210" t="n"/>
      <c r="K19" s="159" t="n"/>
      <c r="L19" s="158" t="n"/>
      <c r="M19" s="187" t="n"/>
      <c r="N19" s="159" t="n"/>
      <c r="O19" s="159" t="n"/>
      <c r="P19" s="187" t="n"/>
    </row>
    <row r="20">
      <c r="A20" s="187" t="n"/>
      <c r="B20" s="187" t="n"/>
      <c r="C20" s="158" t="n"/>
      <c r="D20" s="159" t="n"/>
      <c r="E20" s="187" t="n"/>
      <c r="F20" s="187" t="n"/>
      <c r="G20" s="158" t="n"/>
      <c r="H20" s="210" t="n"/>
      <c r="I20" s="210" t="n"/>
      <c r="J20" s="210" t="n"/>
      <c r="K20" s="159" t="n"/>
      <c r="L20" s="158" t="n"/>
      <c r="M20" s="187" t="n"/>
      <c r="N20" s="159" t="n"/>
      <c r="O20" s="159" t="n"/>
      <c r="P20" s="187" t="n"/>
    </row>
    <row r="21">
      <c r="A21" s="177" t="n"/>
      <c r="B21" s="187" t="n"/>
      <c r="C21" s="178" t="n"/>
      <c r="D21" s="179" t="n"/>
      <c r="E21" s="177" t="n"/>
      <c r="F21" s="177" t="n"/>
      <c r="G21" s="178" t="n"/>
      <c r="H21" s="211" t="n"/>
      <c r="I21" s="211" t="n"/>
      <c r="J21" s="211" t="n"/>
      <c r="K21" s="179" t="n"/>
      <c r="L21" s="178" t="n"/>
      <c r="M21" s="177" t="n"/>
      <c r="N21" s="179" t="n"/>
      <c r="O21" s="179" t="n"/>
      <c r="P21" s="177" t="n"/>
    </row>
    <row r="22">
      <c r="A22" s="161" t="n"/>
      <c r="B22" s="187" t="n"/>
      <c r="C22" s="134" t="n"/>
      <c r="D22" s="135" t="n"/>
      <c r="E22" s="161" t="n"/>
      <c r="F22" s="161" t="n"/>
      <c r="G22" s="134" t="n"/>
      <c r="H22" s="295" t="n"/>
      <c r="I22" s="295" t="n"/>
      <c r="J22" s="295" t="n"/>
      <c r="K22" s="135" t="n"/>
      <c r="L22" s="134" t="n"/>
      <c r="M22" s="161" t="n"/>
      <c r="N22" s="135" t="n"/>
      <c r="O22" s="135" t="n"/>
      <c r="P22" s="161" t="n"/>
    </row>
    <row r="23">
      <c r="A23" s="161" t="n"/>
      <c r="B23" s="187" t="n"/>
      <c r="C23" s="134" t="n"/>
      <c r="D23" s="135" t="n"/>
      <c r="E23" s="161" t="n"/>
      <c r="F23" s="161" t="n"/>
      <c r="G23" s="134" t="n"/>
      <c r="H23" s="295" t="n"/>
      <c r="I23" s="295" t="n"/>
      <c r="J23" s="295" t="n"/>
      <c r="K23" s="135" t="n"/>
      <c r="L23" s="134" t="n"/>
      <c r="M23" s="161" t="n"/>
      <c r="N23" s="135" t="n"/>
      <c r="O23" s="135" t="n"/>
      <c r="P23" s="161" t="n"/>
    </row>
    <row r="24">
      <c r="A24" s="187" t="n"/>
      <c r="B24" s="187" t="n"/>
      <c r="C24" s="158" t="n"/>
      <c r="D24" s="159" t="n"/>
      <c r="E24" s="187" t="n"/>
      <c r="F24" s="187" t="n"/>
      <c r="G24" s="158" t="n"/>
      <c r="H24" s="210" t="n"/>
      <c r="I24" s="210" t="n"/>
      <c r="J24" s="210" t="n"/>
      <c r="K24" s="159" t="n"/>
      <c r="L24" s="158" t="n"/>
      <c r="M24" s="187" t="n"/>
      <c r="N24" s="159" t="n"/>
      <c r="O24" s="159" t="n"/>
      <c r="P24" s="187" t="n"/>
    </row>
    <row r="25">
      <c r="A25" s="187" t="n"/>
      <c r="B25" s="187" t="n"/>
      <c r="C25" s="158" t="n"/>
      <c r="D25" s="159" t="n"/>
      <c r="E25" s="187" t="n"/>
      <c r="F25" s="187" t="n"/>
      <c r="G25" s="158" t="n"/>
      <c r="H25" s="210" t="n"/>
      <c r="I25" s="210" t="n"/>
      <c r="J25" s="210" t="n"/>
      <c r="K25" s="159" t="n"/>
      <c r="L25" s="158" t="n"/>
      <c r="M25" s="187" t="n"/>
      <c r="N25" s="159" t="n"/>
      <c r="O25" s="159" t="n"/>
      <c r="P25" s="187" t="n"/>
    </row>
    <row r="26">
      <c r="A26" s="161" t="n"/>
      <c r="B26" s="187" t="n"/>
      <c r="C26" s="134" t="n"/>
      <c r="D26" s="135" t="n"/>
      <c r="E26" s="161" t="n"/>
      <c r="F26" s="161" t="n"/>
      <c r="G26" s="134" t="n"/>
      <c r="H26" s="295" t="n"/>
      <c r="I26" s="295" t="n"/>
      <c r="J26" s="295" t="n"/>
      <c r="K26" s="135" t="n"/>
      <c r="L26" s="134" t="n"/>
      <c r="M26" s="161" t="n"/>
      <c r="N26" s="135" t="n"/>
      <c r="O26" s="135" t="n"/>
      <c r="P26" s="161" t="n"/>
    </row>
    <row r="27">
      <c r="A27" s="161" t="n"/>
      <c r="B27" s="187" t="n"/>
      <c r="C27" s="134" t="n"/>
      <c r="D27" s="135" t="n"/>
      <c r="E27" s="161" t="n"/>
      <c r="F27" s="161" t="n"/>
      <c r="G27" s="134" t="n"/>
      <c r="H27" s="295" t="n"/>
      <c r="I27" s="295" t="n"/>
      <c r="J27" s="295" t="n"/>
      <c r="K27" s="135" t="n"/>
      <c r="L27" s="134" t="n"/>
      <c r="M27" s="161" t="n"/>
      <c r="N27" s="135" t="n"/>
      <c r="O27" s="135" t="n"/>
      <c r="P27" s="161" t="n"/>
    </row>
    <row r="28">
      <c r="A28" s="187" t="n"/>
      <c r="B28" s="187" t="n"/>
      <c r="C28" s="158" t="n"/>
      <c r="D28" s="159" t="n"/>
      <c r="E28" s="187" t="n"/>
      <c r="F28" s="187" t="n"/>
      <c r="G28" s="158" t="n"/>
      <c r="H28" s="210" t="n"/>
      <c r="I28" s="210" t="n"/>
      <c r="J28" s="210" t="n"/>
      <c r="K28" s="159" t="n"/>
      <c r="L28" s="158" t="n"/>
      <c r="M28" s="187" t="n"/>
      <c r="N28" s="159" t="n"/>
      <c r="O28" s="159" t="n"/>
      <c r="P28" s="187" t="n"/>
    </row>
    <row r="29">
      <c r="A29" s="161" t="n"/>
      <c r="B29" s="187" t="n"/>
      <c r="C29" s="134" t="n"/>
      <c r="D29" s="135" t="n"/>
      <c r="E29" s="161" t="n"/>
      <c r="F29" s="161" t="n"/>
      <c r="G29" s="134" t="n"/>
      <c r="H29" s="295" t="n"/>
      <c r="I29" s="295" t="n"/>
      <c r="J29" s="295" t="n"/>
      <c r="K29" s="135" t="n"/>
      <c r="L29" s="134" t="n"/>
      <c r="M29" s="161" t="n"/>
      <c r="N29" s="135" t="n"/>
      <c r="O29" s="135" t="n"/>
      <c r="P29" s="161" t="n"/>
    </row>
    <row r="30">
      <c r="A30" s="187" t="n"/>
      <c r="B30" s="187" t="n"/>
      <c r="C30" s="158" t="n"/>
      <c r="D30" s="159" t="n"/>
      <c r="E30" s="187" t="n"/>
      <c r="F30" s="187" t="n"/>
      <c r="G30" s="158" t="n"/>
      <c r="H30" s="210" t="n"/>
      <c r="I30" s="210" t="n"/>
      <c r="J30" s="210" t="n"/>
      <c r="K30" s="159" t="n"/>
      <c r="L30" s="158" t="n"/>
      <c r="M30" s="187" t="n"/>
      <c r="N30" s="159" t="n"/>
      <c r="O30" s="159" t="n"/>
      <c r="P30" s="187" t="n"/>
    </row>
    <row r="31">
      <c r="A31" s="187" t="n"/>
      <c r="B31" s="187" t="n"/>
      <c r="C31" s="158" t="n"/>
      <c r="D31" s="159" t="n"/>
      <c r="E31" s="187" t="n"/>
      <c r="F31" s="187" t="n"/>
      <c r="G31" s="158" t="n"/>
      <c r="H31" s="210" t="n"/>
      <c r="I31" s="210" t="n"/>
      <c r="J31" s="210" t="n"/>
      <c r="K31" s="159" t="n"/>
      <c r="L31" s="158" t="n"/>
      <c r="M31" s="187" t="n"/>
      <c r="N31" s="159" t="n"/>
      <c r="O31" s="159" t="n"/>
      <c r="P31" s="187" t="n"/>
    </row>
    <row r="32">
      <c r="A32" s="194" t="n"/>
      <c r="B32" s="187" t="n"/>
      <c r="C32" s="180" t="n"/>
      <c r="D32" s="179" t="n"/>
      <c r="E32" s="194" t="n"/>
      <c r="F32" s="194" t="n"/>
      <c r="G32" s="180" t="n"/>
      <c r="H32" s="212" t="n"/>
      <c r="I32" s="212" t="n"/>
      <c r="J32" s="212" t="n"/>
      <c r="K32" s="181" t="n"/>
      <c r="L32" s="180" t="n"/>
      <c r="M32" s="194" t="n"/>
      <c r="N32" s="181" t="n"/>
      <c r="O32" s="181" t="n"/>
      <c r="P32" s="194" t="n"/>
    </row>
    <row r="33">
      <c r="A33" s="161" t="n"/>
      <c r="B33" s="187" t="n"/>
      <c r="C33" s="134" t="n"/>
      <c r="D33" s="135" t="n"/>
      <c r="E33" s="161" t="n"/>
      <c r="F33" s="161" t="n"/>
      <c r="G33" s="134" t="n"/>
      <c r="H33" s="295" t="n"/>
      <c r="I33" s="295" t="n"/>
      <c r="J33" s="295" t="n"/>
      <c r="K33" s="135" t="n"/>
      <c r="L33" s="134" t="n"/>
      <c r="M33" s="161" t="n"/>
      <c r="N33" s="135" t="n"/>
      <c r="O33" s="135" t="n"/>
      <c r="P33" s="161" t="n"/>
    </row>
    <row r="34">
      <c r="A34" s="161" t="n"/>
      <c r="B34" s="187" t="n"/>
      <c r="C34" s="134" t="n"/>
      <c r="D34" s="135" t="n"/>
      <c r="E34" s="161" t="n"/>
      <c r="F34" s="161" t="n"/>
      <c r="G34" s="134" t="n"/>
      <c r="H34" s="295" t="n"/>
      <c r="I34" s="295" t="n"/>
      <c r="J34" s="295" t="n"/>
      <c r="K34" s="135" t="n"/>
      <c r="L34" s="134" t="n"/>
      <c r="M34" s="161" t="n"/>
      <c r="N34" s="135" t="n"/>
      <c r="O34" s="135" t="n"/>
      <c r="P34" s="161" t="n"/>
    </row>
    <row r="35">
      <c r="A35" s="187" t="n"/>
      <c r="B35" s="187" t="n"/>
      <c r="C35" s="158" t="n"/>
      <c r="D35" s="135" t="n"/>
      <c r="E35" s="187" t="n"/>
      <c r="F35" s="187" t="n"/>
      <c r="G35" s="158" t="n"/>
      <c r="H35" s="210" t="n"/>
      <c r="I35" s="210" t="n"/>
      <c r="J35" s="210" t="n"/>
      <c r="K35" s="159" t="n"/>
      <c r="L35" s="158" t="n"/>
      <c r="M35" s="187" t="n"/>
      <c r="N35" s="159" t="n"/>
      <c r="O35" s="159" t="n"/>
      <c r="P35" s="187" t="n"/>
    </row>
    <row r="36">
      <c r="A36" s="187" t="n"/>
      <c r="B36" s="187" t="n"/>
      <c r="C36" s="158" t="n"/>
      <c r="D36" s="135" t="n"/>
      <c r="E36" s="187" t="n"/>
      <c r="F36" s="187" t="n"/>
      <c r="G36" s="158" t="n"/>
      <c r="H36" s="210" t="n"/>
      <c r="I36" s="210" t="n"/>
      <c r="J36" s="210" t="n"/>
      <c r="K36" s="159" t="n"/>
      <c r="L36" s="158" t="n"/>
      <c r="M36" s="187" t="n"/>
      <c r="N36" s="159" t="n"/>
      <c r="O36" s="159" t="n"/>
      <c r="P36" s="187" t="n"/>
    </row>
    <row r="37">
      <c r="A37" s="161" t="n"/>
      <c r="B37" s="187" t="n"/>
      <c r="C37" s="134" t="n"/>
      <c r="D37" s="135" t="n"/>
      <c r="E37" s="161" t="n"/>
      <c r="F37" s="161" t="n"/>
      <c r="G37" s="134" t="n"/>
      <c r="H37" s="295" t="n"/>
      <c r="I37" s="295" t="n"/>
      <c r="J37" s="295" t="n"/>
      <c r="K37" s="135" t="n"/>
      <c r="L37" s="134" t="n"/>
      <c r="M37" s="161" t="n"/>
      <c r="N37" s="135" t="n"/>
      <c r="O37" s="135" t="n"/>
      <c r="P37" s="161" t="n"/>
    </row>
    <row r="38">
      <c r="A38" s="161" t="n"/>
      <c r="B38" s="187" t="n"/>
      <c r="C38" s="134" t="n"/>
      <c r="D38" s="135" t="n"/>
      <c r="E38" s="161" t="n"/>
      <c r="F38" s="161" t="n"/>
      <c r="G38" s="134" t="n"/>
      <c r="H38" s="295" t="n"/>
      <c r="I38" s="295" t="n"/>
      <c r="J38" s="295" t="n"/>
      <c r="K38" s="135" t="n"/>
      <c r="L38" s="134" t="n"/>
      <c r="M38" s="161" t="n"/>
      <c r="N38" s="135" t="n"/>
      <c r="O38" s="135" t="n"/>
      <c r="P38" s="161" t="n"/>
    </row>
    <row r="39">
      <c r="A39" s="187" t="n"/>
      <c r="B39" s="187" t="n"/>
      <c r="C39" s="158" t="n"/>
      <c r="D39" s="159" t="n"/>
      <c r="E39" s="187" t="n"/>
      <c r="F39" s="187" t="n"/>
      <c r="G39" s="158" t="n"/>
      <c r="H39" s="210" t="n"/>
      <c r="I39" s="210" t="n"/>
      <c r="J39" s="210" t="n"/>
      <c r="K39" s="159" t="n"/>
      <c r="L39" s="158" t="n"/>
      <c r="M39" s="187" t="n"/>
      <c r="N39" s="159" t="n"/>
      <c r="O39" s="159" t="n"/>
      <c r="P39" s="187" t="n"/>
    </row>
    <row r="40">
      <c r="A40" s="187" t="n"/>
      <c r="B40" s="187" t="n"/>
      <c r="C40" s="158" t="n"/>
      <c r="D40" s="159" t="n"/>
      <c r="E40" s="187" t="n"/>
      <c r="F40" s="187" t="n"/>
      <c r="G40" s="158" t="n"/>
      <c r="H40" s="210" t="n"/>
      <c r="I40" s="210" t="n"/>
      <c r="J40" s="210" t="n"/>
      <c r="K40" s="159" t="n"/>
      <c r="L40" s="158" t="n"/>
      <c r="M40" s="187" t="n"/>
      <c r="N40" s="159" t="n"/>
      <c r="O40" s="159" t="n"/>
      <c r="P40" s="187" t="n"/>
    </row>
    <row r="41">
      <c r="A41" s="161" t="n"/>
      <c r="B41" s="187" t="n"/>
      <c r="C41" s="134" t="n"/>
      <c r="D41" s="135" t="n"/>
      <c r="E41" s="161" t="n"/>
      <c r="F41" s="161" t="n"/>
      <c r="G41" s="134" t="n"/>
      <c r="H41" s="295" t="n"/>
      <c r="I41" s="295" t="n"/>
      <c r="J41" s="295" t="n"/>
      <c r="K41" s="135" t="n"/>
      <c r="L41" s="134" t="n"/>
      <c r="M41" s="161" t="n"/>
      <c r="N41" s="135" t="n"/>
      <c r="O41" s="135" t="n"/>
      <c r="P41" s="161" t="n"/>
    </row>
    <row r="42">
      <c r="A42" s="187" t="n"/>
      <c r="B42" s="187" t="n"/>
      <c r="C42" s="158" t="n"/>
      <c r="D42" s="159" t="n"/>
      <c r="E42" s="187" t="n"/>
      <c r="F42" s="187" t="n"/>
      <c r="G42" s="158" t="n"/>
      <c r="H42" s="210" t="n"/>
      <c r="I42" s="210" t="n"/>
      <c r="J42" s="210" t="n"/>
      <c r="K42" s="159" t="n"/>
      <c r="L42" s="158" t="n"/>
      <c r="M42" s="187" t="n"/>
      <c r="N42" s="159" t="n"/>
      <c r="O42" s="159" t="n"/>
      <c r="P42" s="187" t="n"/>
    </row>
    <row r="43">
      <c r="A43" s="187" t="n"/>
      <c r="B43" s="187" t="n"/>
      <c r="C43" s="158" t="n"/>
      <c r="D43" s="159" t="n"/>
      <c r="E43" s="187" t="n"/>
      <c r="F43" s="187" t="n"/>
      <c r="G43" s="158" t="n"/>
      <c r="H43" s="210" t="n"/>
      <c r="I43" s="210" t="n"/>
      <c r="J43" s="210" t="n"/>
      <c r="K43" s="159" t="n"/>
      <c r="L43" s="158" t="n"/>
      <c r="M43" s="187" t="n"/>
      <c r="N43" s="159" t="n"/>
      <c r="O43" s="159" t="n"/>
      <c r="P43" s="187" t="n"/>
    </row>
    <row r="44">
      <c r="A44" s="187" t="n"/>
      <c r="B44" s="187" t="n"/>
      <c r="C44" s="158" t="n"/>
      <c r="D44" s="159" t="n"/>
      <c r="E44" s="187" t="n"/>
      <c r="F44" s="187" t="n"/>
      <c r="G44" s="158" t="n"/>
      <c r="H44" s="210" t="n"/>
      <c r="I44" s="210" t="n"/>
      <c r="J44" s="210" t="n"/>
      <c r="K44" s="159" t="n"/>
      <c r="L44" s="158" t="n"/>
      <c r="M44" s="187" t="n"/>
      <c r="N44" s="159" t="n"/>
      <c r="O44" s="159" t="n"/>
      <c r="P44" s="187" t="n"/>
    </row>
    <row r="45">
      <c r="A45" s="187" t="n"/>
      <c r="B45" s="187" t="n"/>
      <c r="C45" s="158" t="n"/>
      <c r="D45" s="159" t="n"/>
      <c r="E45" s="187" t="n"/>
      <c r="F45" s="187" t="n"/>
      <c r="G45" s="158" t="n"/>
      <c r="H45" s="210" t="n"/>
      <c r="I45" s="210" t="n"/>
      <c r="J45" s="210" t="n"/>
      <c r="K45" s="159" t="n"/>
      <c r="L45" s="158" t="n"/>
      <c r="M45" s="187" t="n"/>
      <c r="N45" s="159" t="n"/>
      <c r="O45" s="159" t="n"/>
      <c r="P45" s="187" t="n"/>
    </row>
    <row r="46">
      <c r="A46" s="187" t="n"/>
      <c r="B46" s="187" t="n"/>
      <c r="C46" s="158" t="n"/>
      <c r="D46" s="159" t="n"/>
      <c r="E46" s="187" t="n"/>
      <c r="F46" s="187" t="n"/>
      <c r="G46" s="158" t="n"/>
      <c r="H46" s="210" t="n"/>
      <c r="I46" s="210" t="n"/>
      <c r="J46" s="210" t="n"/>
      <c r="K46" s="159" t="n"/>
      <c r="L46" s="158" t="n"/>
      <c r="M46" s="187" t="n"/>
      <c r="N46" s="159" t="n"/>
      <c r="O46" s="159" t="n"/>
      <c r="P46" s="187" t="n"/>
    </row>
    <row r="47">
      <c r="A47" s="161" t="n"/>
      <c r="B47" s="187" t="n"/>
      <c r="C47" s="134" t="n"/>
      <c r="D47" s="135" t="n"/>
      <c r="E47" s="161" t="n"/>
      <c r="F47" s="161" t="n"/>
      <c r="G47" s="134" t="n"/>
      <c r="H47" s="295" t="n"/>
      <c r="I47" s="295" t="n"/>
      <c r="J47" s="295" t="n"/>
      <c r="K47" s="135" t="n"/>
      <c r="L47" s="134" t="n"/>
      <c r="M47" s="161" t="n"/>
      <c r="N47" s="135" t="n"/>
      <c r="O47" s="135" t="n"/>
      <c r="P47" s="161" t="n"/>
    </row>
    <row r="48">
      <c r="A48" s="194" t="n"/>
      <c r="B48" s="187" t="n"/>
      <c r="C48" s="180" t="n"/>
      <c r="D48" s="181" t="n"/>
      <c r="E48" s="194" t="n"/>
      <c r="F48" s="194" t="n"/>
      <c r="G48" s="180" t="n"/>
      <c r="H48" s="212" t="n"/>
      <c r="I48" s="212" t="n"/>
      <c r="J48" s="212" t="n"/>
      <c r="K48" s="181" t="n"/>
      <c r="L48" s="180" t="n"/>
      <c r="M48" s="194" t="n"/>
      <c r="N48" s="181" t="n"/>
      <c r="O48" s="181" t="n"/>
      <c r="P48" s="194" t="n"/>
    </row>
    <row r="49">
      <c r="A49" s="187" t="n"/>
      <c r="B49" s="187" t="n"/>
      <c r="C49" s="158" t="n"/>
      <c r="D49" s="159" t="n"/>
      <c r="E49" s="187" t="n"/>
      <c r="F49" s="187" t="n"/>
      <c r="G49" s="158" t="n"/>
      <c r="H49" s="210" t="n"/>
      <c r="I49" s="210" t="n"/>
      <c r="J49" s="210" t="n"/>
      <c r="K49" s="159" t="n"/>
      <c r="L49" s="158" t="n"/>
      <c r="M49" s="187" t="n"/>
      <c r="N49" s="159" t="n"/>
      <c r="O49" s="159" t="n"/>
      <c r="P49" s="187" t="n"/>
    </row>
    <row r="50">
      <c r="A50" s="187" t="n"/>
      <c r="B50" s="187" t="n"/>
      <c r="C50" s="158" t="n"/>
      <c r="D50" s="159" t="n"/>
      <c r="E50" s="187" t="n"/>
      <c r="F50" s="187" t="n"/>
      <c r="G50" s="158" t="n"/>
      <c r="H50" s="210" t="n"/>
      <c r="I50" s="210" t="n"/>
      <c r="J50" s="210" t="n"/>
      <c r="K50" s="159" t="n"/>
      <c r="L50" s="158" t="n"/>
      <c r="M50" s="187" t="n"/>
      <c r="N50" s="159" t="n"/>
      <c r="O50" s="159" t="n"/>
      <c r="P50" s="187" t="n"/>
    </row>
    <row r="51">
      <c r="A51" s="187" t="n"/>
      <c r="B51" s="187" t="n"/>
      <c r="C51" s="158" t="n"/>
      <c r="D51" s="159" t="n"/>
      <c r="E51" s="187" t="n"/>
      <c r="F51" s="187" t="n"/>
      <c r="G51" s="158" t="n"/>
      <c r="H51" s="210" t="n"/>
      <c r="I51" s="210" t="n"/>
      <c r="J51" s="210" t="n"/>
      <c r="K51" s="159" t="n"/>
      <c r="L51" s="158" t="n"/>
      <c r="M51" s="187" t="n"/>
      <c r="N51" s="159" t="n"/>
      <c r="O51" s="159" t="n"/>
      <c r="P51" s="187" t="n"/>
    </row>
    <row r="52">
      <c r="A52" s="161" t="n"/>
      <c r="B52" s="187" t="n"/>
      <c r="C52" s="134" t="n"/>
      <c r="D52" s="159" t="n"/>
      <c r="E52" s="161" t="n"/>
      <c r="F52" s="161" t="n"/>
      <c r="G52" s="134" t="n"/>
      <c r="H52" s="295" t="n"/>
      <c r="I52" s="295" t="n"/>
      <c r="J52" s="295" t="n"/>
      <c r="K52" s="135" t="n"/>
      <c r="L52" s="134" t="n"/>
      <c r="M52" s="161" t="n"/>
      <c r="N52" s="135" t="n"/>
      <c r="O52" s="135" t="n"/>
      <c r="P52" s="161" t="n"/>
    </row>
    <row r="53">
      <c r="A53" s="177" t="n"/>
      <c r="B53" s="187" t="n"/>
      <c r="C53" s="178" t="n"/>
      <c r="D53" s="179" t="n"/>
      <c r="E53" s="177" t="n"/>
      <c r="F53" s="177" t="n"/>
      <c r="G53" s="178" t="n"/>
      <c r="H53" s="211" t="n"/>
      <c r="I53" s="211" t="n"/>
      <c r="J53" s="211" t="n"/>
      <c r="K53" s="179" t="n"/>
      <c r="L53" s="178" t="n"/>
      <c r="M53" s="177" t="n"/>
      <c r="N53" s="179" t="n"/>
      <c r="O53" s="179" t="n"/>
      <c r="P53" s="177" t="n"/>
    </row>
    <row r="54">
      <c r="A54" s="161" t="n"/>
      <c r="B54" s="187" t="n"/>
      <c r="C54" s="134" t="n"/>
      <c r="D54" s="135" t="n"/>
      <c r="E54" s="161" t="n"/>
      <c r="F54" s="161" t="n"/>
      <c r="G54" s="134" t="n"/>
      <c r="H54" s="295" t="n"/>
      <c r="I54" s="295" t="n"/>
      <c r="J54" s="295" t="n"/>
      <c r="K54" s="135" t="n"/>
      <c r="L54" s="134" t="n"/>
      <c r="M54" s="161" t="n"/>
      <c r="N54" s="135" t="n"/>
      <c r="O54" s="135" t="n"/>
      <c r="P54" s="161" t="n"/>
    </row>
    <row r="55">
      <c r="A55" s="187" t="n"/>
      <c r="B55" s="187" t="n"/>
      <c r="C55" s="158" t="n"/>
      <c r="D55" s="159" t="n"/>
      <c r="E55" s="187" t="n"/>
      <c r="F55" s="187" t="n"/>
      <c r="G55" s="158" t="n"/>
      <c r="H55" s="210" t="n"/>
      <c r="I55" s="210" t="n"/>
      <c r="J55" s="210" t="n"/>
      <c r="K55" s="159" t="n"/>
      <c r="L55" s="158" t="n"/>
      <c r="M55" s="187" t="n"/>
      <c r="N55" s="159" t="n"/>
      <c r="O55" s="159" t="n"/>
      <c r="P55" s="187" t="n"/>
    </row>
    <row r="56">
      <c r="A56" s="177" t="n"/>
      <c r="B56" s="187" t="n"/>
      <c r="C56" s="178" t="n"/>
      <c r="D56" s="179" t="n"/>
      <c r="E56" s="177" t="n"/>
      <c r="F56" s="177" t="n"/>
      <c r="G56" s="178" t="n"/>
      <c r="H56" s="211" t="n"/>
      <c r="I56" s="211" t="n"/>
      <c r="J56" s="211" t="n"/>
      <c r="K56" s="179" t="n"/>
      <c r="L56" s="178" t="n"/>
      <c r="M56" s="177" t="n"/>
      <c r="N56" s="179" t="n"/>
      <c r="O56" s="179" t="n"/>
      <c r="P56" s="177" t="n"/>
    </row>
    <row r="57">
      <c r="A57" s="187" t="n"/>
      <c r="B57" s="187" t="n"/>
      <c r="C57" s="158" t="n"/>
      <c r="D57" s="159" t="n"/>
      <c r="E57" s="187" t="n"/>
      <c r="F57" s="187" t="n"/>
      <c r="G57" s="158" t="n"/>
      <c r="H57" s="210" t="n"/>
      <c r="I57" s="210" t="n"/>
      <c r="J57" s="210" t="n"/>
      <c r="K57" s="159" t="n"/>
      <c r="L57" s="158" t="n"/>
      <c r="M57" s="187" t="n"/>
      <c r="N57" s="159" t="n"/>
      <c r="O57" s="159" t="n"/>
      <c r="P57" s="187" t="n"/>
    </row>
    <row r="58">
      <c r="A58" s="187" t="n"/>
      <c r="B58" s="187" t="n"/>
      <c r="C58" s="158" t="n"/>
      <c r="D58" s="159" t="n"/>
      <c r="E58" s="187" t="n"/>
      <c r="F58" s="187" t="n"/>
      <c r="G58" s="158" t="n"/>
      <c r="H58" s="210" t="n"/>
      <c r="I58" s="210" t="n"/>
      <c r="J58" s="210" t="n"/>
      <c r="K58" s="159" t="n"/>
      <c r="L58" s="158" t="n"/>
      <c r="M58" s="187" t="n"/>
      <c r="N58" s="159" t="n"/>
      <c r="O58" s="159" t="n"/>
      <c r="P58" s="187" t="n"/>
    </row>
    <row r="59" customFormat="1" s="143">
      <c r="A59" s="187" t="n"/>
      <c r="B59" s="187" t="n"/>
      <c r="C59" s="182" t="n"/>
      <c r="D59" s="159" t="n"/>
      <c r="E59" s="187" t="n"/>
      <c r="F59" s="187" t="n"/>
      <c r="G59" s="158" t="n"/>
      <c r="H59" s="210" t="n"/>
      <c r="I59" s="210" t="n"/>
      <c r="J59" s="210" t="n"/>
      <c r="K59" s="159" t="n"/>
      <c r="L59" s="158" t="n"/>
      <c r="M59" s="187" t="n"/>
      <c r="N59" s="159" t="n"/>
      <c r="O59" s="159" t="n"/>
      <c r="P59" s="187" t="n"/>
    </row>
    <row r="60">
      <c r="A60" s="177" t="n"/>
      <c r="B60" s="187" t="n"/>
      <c r="C60" s="178" t="n"/>
      <c r="D60" s="179" t="n"/>
      <c r="E60" s="177" t="n"/>
      <c r="F60" s="177" t="n"/>
      <c r="G60" s="178" t="n"/>
      <c r="H60" s="211" t="n"/>
      <c r="I60" s="211" t="n"/>
      <c r="J60" s="211" t="n"/>
      <c r="K60" s="179" t="n"/>
      <c r="L60" s="178" t="n"/>
      <c r="M60" s="177" t="n"/>
      <c r="N60" s="179" t="n"/>
      <c r="O60" s="179" t="n"/>
      <c r="P60" s="177" t="n"/>
    </row>
    <row r="61">
      <c r="A61" s="187" t="n"/>
      <c r="B61" s="187" t="n"/>
      <c r="C61" s="158" t="n"/>
      <c r="D61" s="159" t="n"/>
      <c r="E61" s="187" t="n"/>
      <c r="F61" s="187" t="n"/>
      <c r="G61" s="158" t="n"/>
      <c r="H61" s="210" t="n"/>
      <c r="I61" s="210" t="n"/>
      <c r="J61" s="210" t="n"/>
      <c r="K61" s="159" t="n"/>
      <c r="L61" s="158" t="n"/>
      <c r="M61" s="187" t="n"/>
      <c r="N61" s="159" t="n"/>
      <c r="O61" s="159" t="n"/>
      <c r="P61" s="187" t="n"/>
    </row>
    <row r="62">
      <c r="A62" s="194" t="n"/>
      <c r="B62" s="187" t="n"/>
      <c r="C62" s="180" t="n"/>
      <c r="D62" s="181" t="n"/>
      <c r="E62" s="194" t="n"/>
      <c r="F62" s="194" t="n"/>
      <c r="G62" s="180" t="n"/>
      <c r="H62" s="212" t="n"/>
      <c r="I62" s="212" t="n"/>
      <c r="J62" s="212" t="n"/>
      <c r="K62" s="181" t="n"/>
      <c r="L62" s="180" t="n"/>
      <c r="M62" s="194" t="n"/>
      <c r="N62" s="181" t="n"/>
      <c r="O62" s="181" t="n"/>
      <c r="P62" s="194" t="n"/>
    </row>
    <row r="63">
      <c r="A63" s="161" t="n"/>
      <c r="B63" s="187" t="n"/>
      <c r="C63" s="134" t="n"/>
      <c r="D63" s="135" t="n"/>
      <c r="E63" s="161" t="n"/>
      <c r="F63" s="161" t="n"/>
      <c r="G63" s="134" t="n"/>
      <c r="H63" s="295" t="n"/>
      <c r="I63" s="295" t="n"/>
      <c r="J63" s="295" t="n"/>
      <c r="K63" s="135" t="n"/>
      <c r="L63" s="134" t="n"/>
      <c r="M63" s="161" t="n"/>
      <c r="N63" s="135" t="n"/>
      <c r="O63" s="135" t="n"/>
      <c r="P63" s="161" t="n"/>
    </row>
    <row r="64">
      <c r="A64" s="161" t="n"/>
      <c r="B64" s="187" t="n"/>
      <c r="C64" s="134" t="n"/>
      <c r="D64" s="135" t="n"/>
      <c r="E64" s="161" t="n"/>
      <c r="F64" s="161" t="n"/>
      <c r="G64" s="134" t="n"/>
      <c r="H64" s="295" t="n"/>
      <c r="I64" s="295" t="n"/>
      <c r="J64" s="295" t="n"/>
      <c r="K64" s="135" t="n"/>
      <c r="L64" s="134" t="n"/>
      <c r="M64" s="161" t="n"/>
      <c r="N64" s="135" t="n"/>
      <c r="O64" s="135" t="n"/>
      <c r="P64" s="161" t="n"/>
    </row>
    <row r="65" customFormat="1" s="142">
      <c r="A65" s="187" t="n"/>
      <c r="B65" s="187" t="n"/>
      <c r="C65" s="158" t="n"/>
      <c r="D65" s="159" t="n"/>
      <c r="E65" s="187" t="n"/>
      <c r="F65" s="187" t="n"/>
      <c r="G65" s="158" t="n"/>
      <c r="H65" s="210" t="n"/>
      <c r="I65" s="210" t="n"/>
      <c r="J65" s="210" t="n"/>
      <c r="K65" s="159" t="n"/>
      <c r="L65" s="158" t="n"/>
      <c r="M65" s="187" t="n"/>
      <c r="N65" s="159" t="n"/>
      <c r="O65" s="159" t="n"/>
      <c r="P65" s="187" t="n"/>
    </row>
    <row r="66">
      <c r="A66" s="177" t="n"/>
      <c r="B66" s="187" t="n"/>
      <c r="C66" s="178" t="n"/>
      <c r="D66" s="179" t="n"/>
      <c r="E66" s="177" t="n"/>
      <c r="F66" s="177" t="n"/>
      <c r="G66" s="178" t="n"/>
      <c r="H66" s="211" t="n"/>
      <c r="I66" s="211" t="n"/>
      <c r="J66" s="211" t="n"/>
      <c r="K66" s="179" t="n"/>
      <c r="L66" s="178" t="n"/>
      <c r="M66" s="177" t="n"/>
      <c r="N66" s="179" t="n"/>
      <c r="O66" s="179" t="n"/>
      <c r="P66" s="177" t="n"/>
    </row>
    <row r="67">
      <c r="A67" s="161" t="n"/>
      <c r="B67" s="187" t="n"/>
      <c r="C67" s="134" t="n"/>
      <c r="D67" s="135" t="n"/>
      <c r="E67" s="161" t="n"/>
      <c r="F67" s="161" t="n"/>
      <c r="G67" s="134" t="n"/>
      <c r="H67" s="295" t="n"/>
      <c r="I67" s="295" t="n"/>
      <c r="J67" s="295" t="n"/>
      <c r="K67" s="135" t="n"/>
      <c r="L67" s="134" t="n"/>
      <c r="M67" s="161" t="n"/>
      <c r="N67" s="135" t="n"/>
      <c r="O67" s="135" t="n"/>
      <c r="P67" s="161" t="n"/>
    </row>
    <row r="68">
      <c r="A68" s="161" t="n"/>
      <c r="B68" s="187" t="n"/>
      <c r="C68" s="134" t="n"/>
      <c r="D68" s="135" t="n"/>
      <c r="E68" s="161" t="n"/>
      <c r="F68" s="161" t="n"/>
      <c r="G68" s="134" t="n"/>
      <c r="H68" s="295" t="n"/>
      <c r="I68" s="295" t="n"/>
      <c r="J68" s="295" t="n"/>
      <c r="K68" s="135" t="n"/>
      <c r="L68" s="134" t="n"/>
      <c r="M68" s="161" t="n"/>
      <c r="N68" s="135" t="n"/>
      <c r="O68" s="135" t="n"/>
      <c r="P68" s="161" t="n"/>
    </row>
    <row r="69">
      <c r="A69" s="187" t="n"/>
      <c r="B69" s="187" t="n"/>
      <c r="C69" s="158" t="n"/>
      <c r="D69" s="159" t="n"/>
      <c r="E69" s="187" t="n"/>
      <c r="F69" s="187" t="n"/>
      <c r="G69" s="158" t="n"/>
      <c r="H69" s="210" t="n"/>
      <c r="I69" s="210" t="n"/>
      <c r="J69" s="210" t="n"/>
      <c r="K69" s="159" t="n"/>
      <c r="L69" s="158" t="n"/>
      <c r="M69" s="187" t="n"/>
      <c r="N69" s="159" t="n"/>
      <c r="O69" s="159" t="n"/>
      <c r="P69" s="187" t="n"/>
    </row>
    <row r="70">
      <c r="A70" s="161" t="n"/>
      <c r="B70" s="187" t="n"/>
      <c r="C70" s="134" t="n"/>
      <c r="D70" s="135" t="n"/>
      <c r="E70" s="161" t="n"/>
      <c r="F70" s="161" t="n"/>
      <c r="G70" s="134" t="n"/>
      <c r="H70" s="295" t="n"/>
      <c r="I70" s="295" t="n"/>
      <c r="J70" s="295" t="n"/>
      <c r="K70" s="135" t="n"/>
      <c r="L70" s="134" t="n"/>
      <c r="M70" s="161" t="n"/>
      <c r="N70" s="135" t="n"/>
      <c r="O70" s="135" t="n"/>
      <c r="P70" s="161" t="n"/>
    </row>
    <row r="71">
      <c r="A71" s="161" t="n"/>
      <c r="B71" s="187" t="n"/>
      <c r="C71" s="134" t="n"/>
      <c r="D71" s="135" t="n"/>
      <c r="E71" s="161" t="n"/>
      <c r="F71" s="161" t="n"/>
      <c r="G71" s="134" t="n"/>
      <c r="H71" s="295" t="n"/>
      <c r="I71" s="295" t="n"/>
      <c r="J71" s="295" t="n"/>
      <c r="K71" s="135" t="n"/>
      <c r="L71" s="134" t="n"/>
      <c r="M71" s="161" t="n"/>
      <c r="N71" s="135" t="n"/>
      <c r="O71" s="135" t="n"/>
      <c r="P71" s="161" t="n"/>
    </row>
    <row r="72">
      <c r="A72" s="161" t="n"/>
      <c r="B72" s="187" t="n"/>
      <c r="C72" s="134" t="n"/>
      <c r="D72" s="135" t="n"/>
      <c r="E72" s="161" t="n"/>
      <c r="F72" s="161" t="n"/>
      <c r="G72" s="134" t="n"/>
      <c r="H72" s="295" t="n"/>
      <c r="I72" s="295" t="n"/>
      <c r="J72" s="295" t="n"/>
      <c r="K72" s="135" t="n"/>
      <c r="L72" s="134" t="n"/>
      <c r="M72" s="161" t="n"/>
      <c r="N72" s="135" t="n"/>
      <c r="O72" s="135" t="n"/>
      <c r="P72" s="161" t="n"/>
    </row>
    <row r="73">
      <c r="A73" s="187" t="n"/>
      <c r="B73" s="187" t="n"/>
      <c r="C73" s="158" t="n"/>
      <c r="D73" s="159" t="n"/>
      <c r="E73" s="187" t="n"/>
      <c r="F73" s="187" t="n"/>
      <c r="G73" s="158" t="n"/>
      <c r="H73" s="210" t="n"/>
      <c r="I73" s="210" t="n"/>
      <c r="J73" s="210" t="n"/>
      <c r="K73" s="159" t="n"/>
      <c r="L73" s="158" t="n"/>
      <c r="M73" s="187" t="n"/>
      <c r="N73" s="159" t="n"/>
      <c r="O73" s="159" t="n"/>
      <c r="P73" s="187" t="n"/>
    </row>
    <row r="74">
      <c r="A74" s="161" t="n"/>
      <c r="B74" s="187" t="n"/>
      <c r="C74" s="134" t="n"/>
      <c r="D74" s="135" t="n"/>
      <c r="E74" s="161" t="n"/>
      <c r="F74" s="161" t="n"/>
      <c r="G74" s="134" t="n"/>
      <c r="H74" s="295" t="n"/>
      <c r="I74" s="295" t="n"/>
      <c r="J74" s="295" t="n"/>
      <c r="K74" s="135" t="n"/>
      <c r="L74" s="134" t="n"/>
      <c r="M74" s="161" t="n"/>
      <c r="N74" s="135" t="n"/>
      <c r="O74" s="135" t="n"/>
      <c r="P74" s="161" t="n"/>
    </row>
    <row r="75">
      <c r="A75" s="187" t="n"/>
      <c r="B75" s="187" t="n"/>
      <c r="C75" s="158" t="n"/>
      <c r="D75" s="159" t="n"/>
      <c r="E75" s="187" t="n"/>
      <c r="F75" s="187" t="n"/>
      <c r="G75" s="158" t="n"/>
      <c r="H75" s="210" t="n"/>
      <c r="I75" s="210" t="n"/>
      <c r="J75" s="210" t="n"/>
      <c r="K75" s="159" t="n"/>
      <c r="L75" s="158" t="n"/>
      <c r="M75" s="187" t="n"/>
      <c r="N75" s="159" t="n"/>
      <c r="O75" s="159" t="n"/>
      <c r="P75" s="187" t="n"/>
    </row>
    <row r="76" customFormat="1" s="85">
      <c r="A76" s="187" t="n"/>
      <c r="B76" s="187" t="n"/>
      <c r="C76" s="158" t="n"/>
      <c r="D76" s="159" t="n"/>
      <c r="E76" s="187" t="n"/>
      <c r="F76" s="187" t="n"/>
      <c r="G76" s="158" t="n"/>
      <c r="H76" s="210" t="n"/>
      <c r="I76" s="210" t="n"/>
      <c r="J76" s="210" t="n"/>
      <c r="K76" s="159" t="n"/>
      <c r="L76" s="158" t="n"/>
      <c r="M76" s="187" t="n"/>
      <c r="N76" s="159" t="n"/>
      <c r="O76" s="159" t="n"/>
      <c r="P76" s="187" t="n"/>
    </row>
    <row r="77">
      <c r="A77" s="187" t="n"/>
      <c r="B77" s="187" t="n"/>
      <c r="C77" s="158" t="n"/>
      <c r="D77" s="159" t="n"/>
      <c r="E77" s="187" t="n"/>
      <c r="F77" s="187" t="n"/>
      <c r="G77" s="158" t="n"/>
      <c r="H77" s="210" t="n"/>
      <c r="I77" s="210" t="n"/>
      <c r="J77" s="210" t="n"/>
      <c r="K77" s="159" t="n"/>
      <c r="L77" s="159" t="n"/>
      <c r="M77" s="187" t="n"/>
      <c r="N77" s="159" t="n"/>
      <c r="O77" s="159" t="n"/>
      <c r="P77" s="187" t="n"/>
    </row>
    <row r="78" customFormat="1" s="143">
      <c r="A78" s="187" t="n"/>
      <c r="B78" s="187" t="n"/>
      <c r="C78" s="158" t="n"/>
      <c r="D78" s="159" t="n"/>
      <c r="E78" s="187" t="n"/>
      <c r="F78" s="187" t="n"/>
      <c r="G78" s="158" t="n"/>
      <c r="H78" s="210" t="n"/>
      <c r="I78" s="210" t="n"/>
      <c r="J78" s="210" t="n"/>
      <c r="K78" s="159" t="n"/>
      <c r="L78" s="158" t="n"/>
      <c r="M78" s="187" t="n"/>
      <c r="N78" s="159" t="n"/>
      <c r="O78" s="159" t="n"/>
      <c r="P78" s="187" t="n"/>
    </row>
    <row r="79">
      <c r="A79" s="187" t="n"/>
      <c r="B79" s="187" t="n"/>
      <c r="C79" s="158" t="n"/>
      <c r="D79" s="159" t="n"/>
      <c r="E79" s="187" t="n"/>
      <c r="F79" s="187" t="n"/>
      <c r="G79" s="158" t="n"/>
      <c r="H79" s="210" t="n"/>
      <c r="I79" s="210" t="n"/>
      <c r="J79" s="210" t="n"/>
      <c r="K79" s="159" t="n"/>
      <c r="L79" s="158" t="n"/>
      <c r="M79" s="187" t="n"/>
      <c r="N79" s="159" t="n"/>
      <c r="O79" s="159" t="n"/>
      <c r="P79" s="187" t="n"/>
    </row>
    <row r="80">
      <c r="A80" s="187" t="n"/>
      <c r="B80" s="187" t="n"/>
      <c r="C80" s="158" t="n"/>
      <c r="D80" s="159" t="n"/>
      <c r="E80" s="187" t="n"/>
      <c r="F80" s="187" t="n"/>
      <c r="G80" s="158" t="n"/>
      <c r="H80" s="210" t="n"/>
      <c r="I80" s="210" t="n"/>
      <c r="J80" s="210" t="n"/>
      <c r="K80" s="159" t="n"/>
      <c r="L80" s="158" t="n"/>
      <c r="M80" s="187" t="n"/>
      <c r="N80" s="159" t="n"/>
      <c r="O80" s="159" t="n"/>
      <c r="P80" s="187" t="n"/>
    </row>
    <row r="81">
      <c r="A81" s="187" t="n"/>
      <c r="B81" s="187" t="n"/>
      <c r="C81" s="158" t="n"/>
      <c r="D81" s="158" t="n"/>
      <c r="E81" s="187" t="n"/>
      <c r="F81" s="187" t="n"/>
      <c r="G81" s="158" t="n"/>
      <c r="H81" s="210" t="n"/>
      <c r="I81" s="210" t="n"/>
      <c r="J81" s="210" t="n"/>
      <c r="K81" s="159" t="n"/>
      <c r="L81" s="158" t="n"/>
      <c r="M81" s="187" t="n"/>
      <c r="N81" s="158" t="n"/>
      <c r="O81" s="159" t="n"/>
      <c r="P81" s="187" t="n"/>
    </row>
    <row r="82">
      <c r="A82" s="194" t="n"/>
      <c r="B82" s="187" t="n"/>
      <c r="C82" s="178" t="n"/>
      <c r="D82" s="179" t="n"/>
      <c r="E82" s="177" t="n"/>
      <c r="F82" s="177" t="n"/>
      <c r="G82" s="178" t="n"/>
      <c r="H82" s="211" t="n"/>
      <c r="I82" s="211" t="n"/>
      <c r="J82" s="211" t="n"/>
      <c r="K82" s="179" t="n"/>
      <c r="L82" s="178" t="n"/>
      <c r="M82" s="177" t="n"/>
      <c r="N82" s="179" t="n"/>
      <c r="O82" s="179" t="n"/>
      <c r="P82" s="177" t="n"/>
    </row>
    <row r="83">
      <c r="A83" s="187" t="n"/>
      <c r="B83" s="187" t="n"/>
      <c r="C83" s="134" t="n"/>
      <c r="D83" s="135" t="n"/>
      <c r="E83" s="161" t="n"/>
      <c r="F83" s="161" t="n"/>
      <c r="G83" s="134" t="n"/>
      <c r="H83" s="295" t="n"/>
      <c r="I83" s="295" t="n"/>
      <c r="J83" s="295" t="n"/>
      <c r="K83" s="135" t="n"/>
      <c r="L83" s="134" t="n"/>
      <c r="M83" s="161" t="n"/>
      <c r="N83" s="135" t="n"/>
      <c r="O83" s="135" t="n"/>
      <c r="P83" s="161" t="n"/>
    </row>
    <row r="84">
      <c r="A84" s="187" t="n"/>
      <c r="B84" s="187" t="n"/>
      <c r="C84" s="158" t="n"/>
      <c r="D84" s="159" t="n"/>
      <c r="E84" s="187" t="n"/>
      <c r="F84" s="187" t="n"/>
      <c r="G84" s="158" t="n"/>
      <c r="H84" s="210" t="n"/>
      <c r="I84" s="210" t="n"/>
      <c r="J84" s="210" t="n"/>
      <c r="K84" s="159" t="n"/>
      <c r="L84" s="158" t="n"/>
      <c r="M84" s="187" t="n"/>
      <c r="N84" s="159" t="n"/>
      <c r="O84" s="159" t="n"/>
      <c r="P84" s="187" t="n"/>
    </row>
    <row r="85">
      <c r="A85" s="187" t="n"/>
      <c r="B85" s="187" t="n"/>
      <c r="C85" s="158" t="n"/>
      <c r="D85" s="159" t="n"/>
      <c r="E85" s="187" t="n"/>
      <c r="F85" s="187" t="n"/>
      <c r="G85" s="158" t="n"/>
      <c r="H85" s="210" t="n"/>
      <c r="I85" s="210" t="n"/>
      <c r="J85" s="210" t="n"/>
      <c r="K85" s="159" t="n"/>
      <c r="L85" s="158" t="n"/>
      <c r="M85" s="187" t="n"/>
      <c r="N85" s="159" t="n"/>
      <c r="O85" s="159" t="n"/>
      <c r="P85" s="187" t="n"/>
    </row>
    <row r="86">
      <c r="A86" s="187" t="n"/>
      <c r="B86" s="187" t="n"/>
      <c r="C86" s="158" t="n"/>
      <c r="D86" s="159" t="n"/>
      <c r="E86" s="187" t="n"/>
      <c r="F86" s="187" t="n"/>
      <c r="G86" s="158" t="n"/>
      <c r="H86" s="210" t="n"/>
      <c r="I86" s="210" t="n"/>
      <c r="J86" s="210" t="n"/>
      <c r="K86" s="159" t="n"/>
      <c r="L86" s="158" t="n"/>
      <c r="M86" s="187" t="n"/>
      <c r="N86" s="159" t="n"/>
      <c r="O86" s="159" t="n"/>
      <c r="P86" s="187" t="n"/>
    </row>
    <row r="87">
      <c r="A87" s="187" t="n"/>
      <c r="B87" s="187" t="n"/>
      <c r="C87" s="158" t="n"/>
      <c r="D87" s="159" t="n"/>
      <c r="E87" s="187" t="n"/>
      <c r="F87" s="187" t="n"/>
      <c r="G87" s="158" t="n"/>
      <c r="H87" s="210" t="n"/>
      <c r="I87" s="210" t="n"/>
      <c r="J87" s="210" t="n"/>
      <c r="K87" s="159" t="n"/>
      <c r="L87" s="158" t="n"/>
      <c r="M87" s="187" t="n"/>
      <c r="N87" s="159" t="n"/>
      <c r="O87" s="159" t="n"/>
      <c r="P87" s="187" t="n"/>
    </row>
    <row r="88">
      <c r="A88" s="187" t="n"/>
      <c r="B88" s="187" t="n"/>
      <c r="C88" s="158" t="n"/>
      <c r="D88" s="159" t="n"/>
      <c r="E88" s="187" t="n"/>
      <c r="F88" s="187" t="n"/>
      <c r="G88" s="158" t="n"/>
      <c r="H88" s="210" t="n"/>
      <c r="I88" s="210" t="n"/>
      <c r="J88" s="210" t="n"/>
      <c r="K88" s="159" t="n"/>
      <c r="L88" s="158" t="n"/>
      <c r="M88" s="187" t="n"/>
      <c r="N88" s="159" t="n"/>
      <c r="O88" s="159" t="n"/>
      <c r="P88" s="187" t="n"/>
    </row>
    <row r="89">
      <c r="A89" s="187" t="n"/>
      <c r="B89" s="187" t="n"/>
      <c r="C89" s="158" t="n"/>
      <c r="D89" s="159" t="n"/>
      <c r="E89" s="187" t="n"/>
      <c r="F89" s="187" t="n"/>
      <c r="G89" s="158" t="n"/>
      <c r="H89" s="210" t="n"/>
      <c r="I89" s="210" t="n"/>
      <c r="J89" s="210" t="n"/>
      <c r="K89" s="159" t="n"/>
      <c r="L89" s="158" t="n"/>
      <c r="M89" s="187" t="n"/>
      <c r="N89" s="159" t="n"/>
      <c r="O89" s="159" t="n"/>
      <c r="P89" s="187" t="n"/>
    </row>
    <row r="90">
      <c r="A90" s="187" t="n"/>
      <c r="B90" s="187" t="n"/>
      <c r="C90" s="158" t="n"/>
      <c r="D90" s="159" t="n"/>
      <c r="E90" s="187" t="n"/>
      <c r="F90" s="187" t="n"/>
      <c r="G90" s="158" t="n"/>
      <c r="H90" s="210" t="n"/>
      <c r="I90" s="210" t="n"/>
      <c r="J90" s="210" t="n"/>
      <c r="K90" s="159" t="n"/>
      <c r="L90" s="158" t="n"/>
      <c r="M90" s="187" t="n"/>
      <c r="N90" s="159" t="n"/>
      <c r="O90" s="159" t="n"/>
      <c r="P90" s="187" t="n"/>
    </row>
    <row r="91">
      <c r="A91" s="187" t="n"/>
      <c r="B91" s="187" t="n"/>
      <c r="C91" s="158" t="n"/>
      <c r="D91" s="159" t="n"/>
      <c r="E91" s="187" t="n"/>
      <c r="F91" s="187" t="n"/>
      <c r="G91" s="158" t="n"/>
      <c r="H91" s="210" t="n"/>
      <c r="I91" s="210" t="n"/>
      <c r="J91" s="210" t="n"/>
      <c r="K91" s="159" t="n"/>
      <c r="L91" s="158" t="n"/>
      <c r="M91" s="187" t="n"/>
      <c r="N91" s="159" t="n"/>
      <c r="O91" s="159" t="n"/>
      <c r="P91" s="187" t="n"/>
    </row>
    <row r="92">
      <c r="A92" s="187" t="n"/>
      <c r="B92" s="187" t="n"/>
      <c r="C92" s="134" t="n"/>
      <c r="D92" s="135" t="n"/>
      <c r="E92" s="161" t="n"/>
      <c r="F92" s="161" t="n"/>
      <c r="G92" s="134" t="n"/>
      <c r="H92" s="295" t="n"/>
      <c r="I92" s="295" t="n"/>
      <c r="J92" s="295" t="n"/>
      <c r="K92" s="135" t="n"/>
      <c r="L92" s="134" t="n"/>
      <c r="M92" s="161" t="n"/>
      <c r="N92" s="135" t="n"/>
      <c r="O92" s="135" t="n"/>
      <c r="P92" s="161" t="n"/>
    </row>
    <row r="93">
      <c r="A93" s="187" t="n"/>
      <c r="B93" s="187" t="n"/>
      <c r="C93" s="158" t="n"/>
      <c r="D93" s="159" t="n"/>
      <c r="E93" s="187" t="n"/>
      <c r="F93" s="191" t="n"/>
      <c r="G93" s="158" t="n"/>
      <c r="H93" s="210" t="n"/>
      <c r="I93" s="210" t="n"/>
      <c r="J93" s="210" t="n"/>
      <c r="K93" s="159" t="n"/>
      <c r="L93" s="158" t="n"/>
      <c r="M93" s="187" t="n"/>
      <c r="N93" s="159" t="n"/>
      <c r="O93" s="159" t="n"/>
      <c r="P93" s="187" t="n"/>
    </row>
    <row r="94" customFormat="1" s="143">
      <c r="A94" s="187" t="n"/>
      <c r="B94" s="187" t="n"/>
      <c r="C94" s="134" t="n"/>
      <c r="D94" s="135" t="n"/>
      <c r="E94" s="161" t="n"/>
      <c r="F94" s="161" t="n"/>
      <c r="G94" s="134" t="n"/>
      <c r="H94" s="295" t="n"/>
      <c r="I94" s="295" t="n"/>
      <c r="J94" s="295" t="n"/>
      <c r="K94" s="135" t="n"/>
      <c r="L94" s="134" t="n"/>
      <c r="M94" s="161" t="n"/>
      <c r="N94" s="135" t="n"/>
      <c r="O94" s="135" t="n"/>
      <c r="P94" s="161" t="n"/>
    </row>
    <row r="95">
      <c r="A95" s="187" t="n"/>
      <c r="B95" s="187" t="n"/>
      <c r="C95" s="158" t="n"/>
      <c r="D95" s="159" t="n"/>
      <c r="E95" s="187" t="n"/>
      <c r="F95" s="187" t="n"/>
      <c r="G95" s="158" t="n"/>
      <c r="H95" s="210" t="n"/>
      <c r="I95" s="210" t="n"/>
      <c r="J95" s="210" t="n"/>
      <c r="K95" s="159" t="n"/>
      <c r="L95" s="158" t="n"/>
      <c r="M95" s="187" t="n"/>
      <c r="N95" s="159" t="n"/>
      <c r="O95" s="159" t="n"/>
      <c r="P95" s="187" t="n"/>
    </row>
    <row r="96">
      <c r="A96" s="187" t="n"/>
      <c r="B96" s="187" t="n"/>
      <c r="C96" s="158" t="n"/>
      <c r="D96" s="159" t="n"/>
      <c r="E96" s="187" t="n"/>
      <c r="F96" s="187" t="n"/>
      <c r="G96" s="158" t="n"/>
      <c r="H96" s="210" t="n"/>
      <c r="I96" s="210" t="n"/>
      <c r="J96" s="210" t="n"/>
      <c r="K96" s="159" t="n"/>
      <c r="L96" s="158" t="n"/>
      <c r="M96" s="187" t="n"/>
      <c r="N96" s="159" t="n"/>
      <c r="O96" s="159" t="n"/>
      <c r="P96" s="187" t="n"/>
    </row>
    <row r="97">
      <c r="A97" s="187" t="n"/>
      <c r="B97" s="187" t="n"/>
      <c r="C97" s="158" t="n"/>
      <c r="D97" s="159" t="n"/>
      <c r="E97" s="187" t="n"/>
      <c r="F97" s="187" t="n"/>
      <c r="G97" s="158" t="n"/>
      <c r="H97" s="210" t="n"/>
      <c r="I97" s="210" t="n"/>
      <c r="J97" s="210" t="n"/>
      <c r="K97" s="159" t="n"/>
      <c r="L97" s="158" t="n"/>
      <c r="M97" s="187" t="n"/>
      <c r="N97" s="159" t="n"/>
      <c r="O97" s="159" t="n"/>
      <c r="P97" s="187" t="n"/>
    </row>
    <row r="98">
      <c r="A98" s="187" t="n"/>
      <c r="B98" s="187" t="n"/>
      <c r="C98" s="134" t="n"/>
      <c r="D98" s="159" t="n"/>
      <c r="E98" s="187" t="n"/>
      <c r="F98" s="187" t="n"/>
      <c r="G98" s="158" t="n"/>
      <c r="H98" s="210" t="n"/>
      <c r="I98" s="210" t="n"/>
      <c r="J98" s="210" t="n"/>
      <c r="K98" s="159" t="n"/>
      <c r="L98" s="158" t="n"/>
      <c r="M98" s="187" t="n"/>
      <c r="N98" s="159" t="n"/>
      <c r="O98" s="159" t="n"/>
      <c r="P98" s="187" t="n"/>
    </row>
    <row r="99">
      <c r="A99" s="194" t="n"/>
      <c r="B99" s="187" t="n"/>
      <c r="C99" s="178" t="n"/>
      <c r="D99" s="179" t="n"/>
      <c r="E99" s="177" t="n"/>
      <c r="F99" s="177" t="n"/>
      <c r="G99" s="178" t="n"/>
      <c r="H99" s="211" t="n"/>
      <c r="I99" s="211" t="n"/>
      <c r="J99" s="211" t="n"/>
      <c r="K99" s="179" t="n"/>
      <c r="L99" s="178" t="n"/>
      <c r="M99" s="177" t="n"/>
      <c r="N99" s="179" t="n"/>
      <c r="O99" s="179" t="n"/>
      <c r="P99" s="177" t="n"/>
    </row>
    <row r="100">
      <c r="A100" s="187" t="n"/>
      <c r="B100" s="187" t="n"/>
      <c r="C100" s="134" t="n"/>
      <c r="D100" s="135" t="n"/>
      <c r="E100" s="161" t="n"/>
      <c r="F100" s="161" t="n"/>
      <c r="G100" s="134" t="n"/>
      <c r="H100" s="295" t="n"/>
      <c r="I100" s="295" t="n"/>
      <c r="J100" s="295" t="n"/>
      <c r="K100" s="135" t="n"/>
      <c r="L100" s="134" t="n"/>
      <c r="M100" s="161" t="n"/>
      <c r="N100" s="135" t="n"/>
      <c r="O100" s="135" t="n"/>
      <c r="P100" s="161" t="n"/>
    </row>
    <row r="101">
      <c r="A101" s="194" t="n"/>
      <c r="B101" s="187" t="n"/>
      <c r="C101" s="180" t="n"/>
      <c r="D101" s="181" t="n"/>
      <c r="E101" s="194" t="n"/>
      <c r="F101" s="194" t="n"/>
      <c r="G101" s="180" t="n"/>
      <c r="H101" s="212" t="n"/>
      <c r="I101" s="212" t="n"/>
      <c r="J101" s="212" t="n"/>
      <c r="K101" s="181" t="n"/>
      <c r="L101" s="180" t="n"/>
      <c r="M101" s="194" t="n"/>
      <c r="N101" s="181" t="n"/>
      <c r="O101" s="181" t="n"/>
      <c r="P101" s="194" t="n"/>
    </row>
    <row r="102">
      <c r="A102" s="187" t="n"/>
      <c r="B102" s="187" t="n"/>
      <c r="C102" s="158" t="n"/>
      <c r="D102" s="159" t="n"/>
      <c r="E102" s="187" t="n"/>
      <c r="F102" s="187" t="n"/>
      <c r="G102" s="158" t="n"/>
      <c r="H102" s="210" t="n"/>
      <c r="I102" s="210" t="n"/>
      <c r="J102" s="210" t="n"/>
      <c r="K102" s="159" t="n"/>
      <c r="L102" s="158" t="n"/>
      <c r="M102" s="187" t="n"/>
      <c r="N102" s="159" t="n"/>
      <c r="O102" s="159" t="n"/>
      <c r="P102" s="187" t="n"/>
    </row>
    <row r="103">
      <c r="A103" s="187" t="n"/>
      <c r="B103" s="187" t="n"/>
      <c r="C103" s="158" t="n"/>
      <c r="D103" s="159" t="n"/>
      <c r="E103" s="187" t="n"/>
      <c r="F103" s="187" t="n"/>
      <c r="G103" s="158" t="n"/>
      <c r="H103" s="210" t="n"/>
      <c r="I103" s="210" t="n"/>
      <c r="J103" s="210" t="n"/>
      <c r="K103" s="159" t="n"/>
      <c r="L103" s="158" t="n"/>
      <c r="M103" s="187" t="n"/>
      <c r="N103" s="159" t="n"/>
      <c r="O103" s="159" t="n"/>
      <c r="P103" s="187" t="n"/>
    </row>
    <row r="104">
      <c r="A104" s="194" t="n"/>
      <c r="B104" s="187" t="n"/>
      <c r="C104" s="178" t="n"/>
      <c r="D104" s="179" t="n"/>
      <c r="E104" s="177" t="n"/>
      <c r="F104" s="177" t="n"/>
      <c r="G104" s="178" t="n"/>
      <c r="H104" s="211" t="n"/>
      <c r="I104" s="211" t="n"/>
      <c r="J104" s="211" t="n"/>
      <c r="K104" s="179" t="n"/>
      <c r="L104" s="178" t="n"/>
      <c r="M104" s="177" t="n"/>
      <c r="N104" s="179" t="n"/>
      <c r="O104" s="179" t="n"/>
      <c r="P104" s="177" t="n"/>
    </row>
    <row r="105">
      <c r="A105" s="187" t="n"/>
      <c r="B105" s="187" t="n"/>
      <c r="C105" s="134" t="n"/>
      <c r="D105" s="135" t="n"/>
      <c r="E105" s="161" t="n"/>
      <c r="F105" s="161" t="n"/>
      <c r="G105" s="134" t="n"/>
      <c r="H105" s="295" t="n"/>
      <c r="I105" s="295" t="n"/>
      <c r="J105" s="295" t="n"/>
      <c r="K105" s="135" t="n"/>
      <c r="L105" s="134" t="n"/>
      <c r="M105" s="161" t="n"/>
      <c r="N105" s="135" t="n"/>
      <c r="O105" s="135" t="n"/>
      <c r="P105" s="161" t="n"/>
    </row>
    <row r="106">
      <c r="A106" s="187" t="n"/>
      <c r="B106" s="187" t="n"/>
      <c r="C106" s="158" t="n"/>
      <c r="D106" s="159" t="n"/>
      <c r="E106" s="187" t="n"/>
      <c r="F106" s="187" t="n"/>
      <c r="G106" s="158" t="n"/>
      <c r="H106" s="210" t="n"/>
      <c r="I106" s="210" t="n"/>
      <c r="J106" s="210" t="n"/>
      <c r="K106" s="159" t="n"/>
      <c r="L106" s="158" t="n"/>
      <c r="M106" s="187" t="n"/>
      <c r="N106" s="159" t="n"/>
      <c r="O106" s="159" t="n"/>
      <c r="P106" s="187" t="n"/>
    </row>
    <row r="107">
      <c r="A107" s="194" t="n"/>
      <c r="B107" s="187" t="n"/>
      <c r="C107" s="178" t="n"/>
      <c r="D107" s="179" t="n"/>
      <c r="E107" s="177" t="n"/>
      <c r="F107" s="177" t="n"/>
      <c r="G107" s="178" t="n"/>
      <c r="H107" s="211" t="n"/>
      <c r="I107" s="211" t="n"/>
      <c r="J107" s="211" t="n"/>
      <c r="K107" s="179" t="n"/>
      <c r="L107" s="178" t="n"/>
      <c r="M107" s="177" t="n"/>
      <c r="N107" s="179" t="n"/>
      <c r="O107" s="179" t="n"/>
      <c r="P107" s="177" t="n"/>
    </row>
    <row r="108">
      <c r="A108" s="187" t="n"/>
      <c r="B108" s="187" t="n"/>
      <c r="C108" s="134" t="n"/>
      <c r="D108" s="135" t="n"/>
      <c r="E108" s="161" t="n"/>
      <c r="F108" s="161" t="n"/>
      <c r="G108" s="134" t="n"/>
      <c r="H108" s="295" t="n"/>
      <c r="I108" s="295" t="n"/>
      <c r="J108" s="295" t="n"/>
      <c r="K108" s="135" t="n"/>
      <c r="L108" s="134" t="n"/>
      <c r="M108" s="161" t="n"/>
      <c r="N108" s="135" t="n"/>
      <c r="O108" s="135" t="n"/>
      <c r="P108" s="161" t="n"/>
    </row>
    <row r="109">
      <c r="A109" s="187" t="n"/>
      <c r="B109" s="187" t="n"/>
      <c r="C109" s="134" t="n"/>
      <c r="D109" s="135" t="n"/>
      <c r="E109" s="161" t="n"/>
      <c r="F109" s="161" t="n"/>
      <c r="G109" s="134" t="n"/>
      <c r="H109" s="295" t="n"/>
      <c r="I109" s="295" t="n"/>
      <c r="J109" s="295" t="n"/>
      <c r="K109" s="135" t="n"/>
      <c r="L109" s="134" t="n"/>
      <c r="M109" s="161" t="n"/>
      <c r="N109" s="135" t="n"/>
      <c r="O109" s="135" t="n"/>
      <c r="P109" s="161" t="n"/>
    </row>
    <row r="110">
      <c r="A110" s="187" t="n"/>
      <c r="B110" s="187" t="n"/>
      <c r="C110" s="134" t="n"/>
      <c r="D110" s="135" t="n"/>
      <c r="E110" s="161" t="n"/>
      <c r="F110" s="161" t="n"/>
      <c r="G110" s="134" t="n"/>
      <c r="H110" s="295" t="n"/>
      <c r="I110" s="295" t="n"/>
      <c r="J110" s="295" t="n"/>
      <c r="K110" s="135" t="n"/>
      <c r="L110" s="134" t="n"/>
      <c r="M110" s="161" t="n"/>
      <c r="N110" s="135" t="n"/>
      <c r="O110" s="135" t="n"/>
      <c r="P110" s="161" t="n"/>
    </row>
    <row r="111">
      <c r="A111" s="187" t="n"/>
      <c r="B111" s="187" t="n"/>
      <c r="C111" s="158" t="n"/>
      <c r="D111" s="159" t="n"/>
      <c r="E111" s="187" t="n"/>
      <c r="F111" s="187" t="n"/>
      <c r="G111" s="158" t="n"/>
      <c r="H111" s="210" t="n"/>
      <c r="I111" s="210" t="n"/>
      <c r="J111" s="210" t="n"/>
      <c r="K111" s="159" t="n"/>
      <c r="L111" s="158" t="n"/>
      <c r="M111" s="187" t="n"/>
      <c r="N111" s="159" t="n"/>
      <c r="O111" s="159" t="n"/>
      <c r="P111" s="187" t="n"/>
    </row>
    <row r="112">
      <c r="A112" s="187" t="n"/>
      <c r="B112" s="187" t="n"/>
      <c r="C112" s="134" t="n"/>
      <c r="D112" s="135" t="n"/>
      <c r="E112" s="161" t="n"/>
      <c r="F112" s="161" t="n"/>
      <c r="G112" s="134" t="n"/>
      <c r="H112" s="295" t="n"/>
      <c r="I112" s="295" t="n"/>
      <c r="J112" s="295" t="n"/>
      <c r="K112" s="135" t="n"/>
      <c r="L112" s="134" t="n"/>
      <c r="M112" s="161" t="n"/>
      <c r="N112" s="135" t="n"/>
      <c r="O112" s="135" t="n"/>
      <c r="P112" s="161" t="n"/>
    </row>
    <row r="113">
      <c r="A113" s="187" t="n"/>
      <c r="B113" s="187" t="n"/>
      <c r="C113" s="158" t="n"/>
      <c r="D113" s="158" t="n"/>
      <c r="E113" s="187" t="n"/>
      <c r="F113" s="158" t="n"/>
      <c r="G113" s="158" t="n"/>
      <c r="H113" s="210" t="n"/>
      <c r="I113" s="210" t="n"/>
      <c r="J113" s="210" t="n"/>
      <c r="K113" s="159" t="n"/>
      <c r="L113" s="158" t="n"/>
      <c r="M113" s="187" t="n"/>
      <c r="N113" s="158" t="n"/>
      <c r="O113" s="159" t="n"/>
      <c r="P113" s="187" t="n"/>
    </row>
    <row r="114">
      <c r="A114" s="187" t="n"/>
      <c r="B114" s="187" t="n"/>
      <c r="C114" s="158" t="n"/>
      <c r="D114" s="159" t="n"/>
      <c r="E114" s="187" t="n"/>
      <c r="F114" s="190" t="n"/>
      <c r="G114" s="158" t="n"/>
      <c r="H114" s="210" t="n"/>
      <c r="I114" s="210" t="n"/>
      <c r="J114" s="210" t="n"/>
      <c r="K114" s="159" t="n"/>
      <c r="L114" s="158" t="n"/>
      <c r="M114" s="187" t="n"/>
      <c r="N114" s="159" t="n"/>
      <c r="O114" s="159" t="n"/>
      <c r="P114" s="187" t="n"/>
    </row>
    <row r="115">
      <c r="A115" s="187" t="n"/>
      <c r="B115" s="187" t="n"/>
      <c r="C115" s="158" t="n"/>
      <c r="D115" s="159" t="n"/>
      <c r="E115" s="187" t="n"/>
      <c r="F115" s="187" t="n"/>
      <c r="G115" s="158" t="n"/>
      <c r="H115" s="210" t="n"/>
      <c r="I115" s="210" t="n"/>
      <c r="J115" s="210" t="n"/>
      <c r="K115" s="159" t="n"/>
      <c r="L115" s="158" t="n"/>
      <c r="M115" s="187" t="n"/>
      <c r="N115" s="159" t="n"/>
      <c r="O115" s="159" t="n"/>
      <c r="P115" s="187" t="n"/>
    </row>
    <row r="116">
      <c r="A116" s="194" t="n"/>
      <c r="B116" s="187" t="n"/>
      <c r="C116" s="180" t="n"/>
      <c r="D116" s="181" t="n"/>
      <c r="E116" s="194" t="n"/>
      <c r="F116" s="194" t="n"/>
      <c r="G116" s="180" t="n"/>
      <c r="H116" s="212" t="n"/>
      <c r="I116" s="212" t="n"/>
      <c r="J116" s="212" t="n"/>
      <c r="K116" s="181" t="n"/>
      <c r="L116" s="180" t="n"/>
      <c r="M116" s="194" t="n"/>
      <c r="N116" s="181" t="n"/>
      <c r="O116" s="181" t="n"/>
      <c r="P116" s="194" t="n"/>
    </row>
    <row r="117">
      <c r="A117" s="187" t="n"/>
      <c r="B117" s="187" t="n"/>
      <c r="C117" s="158" t="n"/>
      <c r="D117" s="159" t="n"/>
      <c r="E117" s="187" t="n"/>
      <c r="F117" s="187" t="n"/>
      <c r="G117" s="158" t="n"/>
      <c r="H117" s="210" t="n"/>
      <c r="I117" s="210" t="n"/>
      <c r="J117" s="210" t="n"/>
      <c r="K117" s="159" t="n"/>
      <c r="L117" s="158" t="n"/>
      <c r="M117" s="187" t="n"/>
      <c r="N117" s="159" t="n"/>
      <c r="O117" s="159" t="n"/>
      <c r="P117" s="187" t="n"/>
    </row>
    <row r="118">
      <c r="A118" s="187" t="n"/>
      <c r="B118" s="187" t="n"/>
      <c r="C118" s="158" t="n"/>
      <c r="D118" s="159" t="n"/>
      <c r="E118" s="187" t="n"/>
      <c r="F118" s="187" t="n"/>
      <c r="G118" s="158" t="n"/>
      <c r="H118" s="210" t="n"/>
      <c r="I118" s="210" t="n"/>
      <c r="J118" s="210" t="n"/>
      <c r="K118" s="159" t="n"/>
      <c r="L118" s="134" t="n"/>
      <c r="M118" s="187" t="n"/>
      <c r="N118" s="159" t="n"/>
      <c r="O118" s="159" t="n"/>
      <c r="P118" s="187" t="n"/>
    </row>
    <row r="119">
      <c r="A119" s="187" t="n"/>
      <c r="B119" s="187" t="n"/>
      <c r="C119" s="134" t="n"/>
      <c r="D119" s="135" t="n"/>
      <c r="E119" s="161" t="n"/>
      <c r="F119" s="161" t="n"/>
      <c r="G119" s="134" t="n"/>
      <c r="H119" s="295" t="n"/>
      <c r="I119" s="295" t="n"/>
      <c r="J119" s="295" t="n"/>
      <c r="K119" s="135" t="n"/>
      <c r="L119" s="134" t="n"/>
      <c r="M119" s="161" t="n"/>
      <c r="N119" s="135" t="n"/>
      <c r="O119" s="135" t="n"/>
      <c r="P119" s="161" t="n"/>
    </row>
    <row r="120">
      <c r="A120" s="187" t="n"/>
      <c r="B120" s="187" t="n"/>
      <c r="C120" s="134" t="n"/>
      <c r="D120" s="135" t="n"/>
      <c r="E120" s="161" t="n"/>
      <c r="F120" s="161" t="n"/>
      <c r="G120" s="134" t="n"/>
      <c r="H120" s="295" t="n"/>
      <c r="I120" s="295" t="n"/>
      <c r="J120" s="295" t="n"/>
      <c r="K120" s="135" t="n"/>
      <c r="L120" s="134" t="n"/>
      <c r="M120" s="161" t="n"/>
      <c r="N120" s="135" t="n"/>
      <c r="O120" s="135" t="n"/>
      <c r="P120" s="161" t="n"/>
    </row>
    <row r="121">
      <c r="A121" s="187" t="n"/>
      <c r="B121" s="187" t="n"/>
      <c r="C121" s="134" t="n"/>
      <c r="D121" s="135" t="n"/>
      <c r="E121" s="161" t="n"/>
      <c r="F121" s="161" t="n"/>
      <c r="G121" s="134" t="n"/>
      <c r="H121" s="295" t="n"/>
      <c r="I121" s="295" t="n"/>
      <c r="J121" s="295" t="n"/>
      <c r="K121" s="135" t="n"/>
      <c r="L121" s="134" t="n"/>
      <c r="M121" s="161" t="n"/>
      <c r="N121" s="135" t="n"/>
      <c r="O121" s="135" t="n"/>
      <c r="P121" s="161" t="n"/>
    </row>
    <row r="122">
      <c r="A122" s="187" t="n"/>
      <c r="B122" s="187" t="n"/>
      <c r="C122" s="158" t="n"/>
      <c r="D122" s="159" t="n"/>
      <c r="E122" s="187" t="n"/>
      <c r="F122" s="187" t="n"/>
      <c r="G122" s="158" t="n"/>
      <c r="H122" s="210" t="n"/>
      <c r="I122" s="210" t="n"/>
      <c r="J122" s="210" t="n"/>
      <c r="K122" s="159" t="n"/>
      <c r="L122" s="158" t="n"/>
      <c r="M122" s="187" t="n"/>
      <c r="N122" s="159" t="n"/>
      <c r="O122" s="159" t="n"/>
      <c r="P122" s="187" t="n"/>
    </row>
    <row r="123">
      <c r="A123" s="187" t="n"/>
      <c r="B123" s="187" t="n"/>
      <c r="C123" s="158" t="n"/>
      <c r="D123" s="159" t="n"/>
      <c r="E123" s="187" t="n"/>
      <c r="F123" s="187" t="n"/>
      <c r="G123" s="158" t="n"/>
      <c r="H123" s="210" t="n"/>
      <c r="I123" s="210" t="n"/>
      <c r="J123" s="210" t="n"/>
      <c r="K123" s="159" t="n"/>
      <c r="L123" s="158" t="n"/>
      <c r="M123" s="187" t="n"/>
      <c r="N123" s="159" t="n"/>
      <c r="O123" s="159" t="n"/>
      <c r="P123" s="187" t="n"/>
    </row>
    <row r="124">
      <c r="A124" s="187" t="n"/>
      <c r="B124" s="187" t="n"/>
      <c r="C124" s="158" t="n"/>
      <c r="D124" s="159" t="n"/>
      <c r="E124" s="187" t="n"/>
      <c r="F124" s="187" t="n"/>
      <c r="G124" s="158" t="n"/>
      <c r="H124" s="210" t="n"/>
      <c r="I124" s="210" t="n"/>
      <c r="J124" s="210" t="n"/>
      <c r="K124" s="159" t="n"/>
      <c r="L124" s="158" t="n"/>
      <c r="M124" s="187" t="n"/>
      <c r="N124" s="159" t="n"/>
      <c r="O124" s="159" t="n"/>
      <c r="P124" s="187" t="n"/>
    </row>
    <row r="125">
      <c r="A125" s="194" t="n"/>
      <c r="B125" s="187" t="n"/>
      <c r="C125" s="178" t="n"/>
      <c r="D125" s="179" t="n"/>
      <c r="E125" s="177" t="n"/>
      <c r="F125" s="177" t="n"/>
      <c r="G125" s="178" t="n"/>
      <c r="H125" s="211" t="n"/>
      <c r="I125" s="211" t="n"/>
      <c r="J125" s="211" t="n"/>
      <c r="K125" s="179" t="n"/>
      <c r="L125" s="178" t="n"/>
      <c r="M125" s="177" t="n"/>
      <c r="N125" s="179" t="n"/>
      <c r="O125" s="179" t="n"/>
      <c r="P125" s="177" t="n"/>
    </row>
    <row r="126">
      <c r="A126" s="187" t="n"/>
      <c r="B126" s="187" t="n"/>
      <c r="C126" s="134" t="n"/>
      <c r="D126" s="135" t="n"/>
      <c r="E126" s="161" t="n"/>
      <c r="F126" s="161" t="n"/>
      <c r="G126" s="134" t="n"/>
      <c r="H126" s="295" t="n"/>
      <c r="I126" s="295" t="n"/>
      <c r="J126" s="295" t="n"/>
      <c r="K126" s="135" t="n"/>
      <c r="L126" s="134" t="n"/>
      <c r="M126" s="161" t="n"/>
      <c r="N126" s="135" t="n"/>
      <c r="O126" s="135" t="n"/>
      <c r="P126" s="161" t="n"/>
    </row>
    <row r="127">
      <c r="A127" s="187" t="n"/>
      <c r="B127" s="187" t="n"/>
      <c r="C127" s="158" t="n"/>
      <c r="D127" s="159" t="n"/>
      <c r="E127" s="187" t="n"/>
      <c r="F127" s="187" t="n"/>
      <c r="G127" s="158" t="n"/>
      <c r="H127" s="210" t="n"/>
      <c r="I127" s="210" t="n"/>
      <c r="J127" s="210" t="n"/>
      <c r="K127" s="159" t="n"/>
      <c r="L127" s="158" t="n"/>
      <c r="M127" s="187" t="n"/>
      <c r="N127" s="159" t="n"/>
      <c r="O127" s="159" t="n"/>
      <c r="P127" s="187" t="n"/>
    </row>
    <row r="128">
      <c r="A128" s="187" t="n"/>
      <c r="B128" s="187" t="n"/>
      <c r="C128" s="134" t="n"/>
      <c r="D128" s="135" t="n"/>
      <c r="E128" s="161" t="n"/>
      <c r="F128" s="161" t="n"/>
      <c r="G128" s="134" t="n"/>
      <c r="H128" s="295" t="n"/>
      <c r="I128" s="295" t="n"/>
      <c r="J128" s="295" t="n"/>
      <c r="K128" s="135" t="n"/>
      <c r="L128" s="134" t="n"/>
      <c r="M128" s="161" t="n"/>
      <c r="N128" s="135" t="n"/>
      <c r="O128" s="135" t="n"/>
      <c r="P128" s="161" t="n"/>
    </row>
    <row r="129">
      <c r="A129" s="187" t="n"/>
      <c r="B129" s="187" t="n"/>
      <c r="C129" s="158" t="n"/>
      <c r="D129" s="159" t="n"/>
      <c r="E129" s="187" t="n"/>
      <c r="F129" s="187" t="n"/>
      <c r="G129" s="158" t="n"/>
      <c r="H129" s="210" t="n"/>
      <c r="I129" s="210" t="n"/>
      <c r="J129" s="210" t="n"/>
      <c r="K129" s="159" t="n"/>
      <c r="L129" s="158" t="n"/>
      <c r="M129" s="187" t="n"/>
      <c r="N129" s="159" t="n"/>
      <c r="O129" s="159" t="n"/>
      <c r="P129" s="187" t="n"/>
    </row>
    <row r="130">
      <c r="A130" s="187" t="n"/>
      <c r="B130" s="187" t="n"/>
      <c r="C130" s="158" t="n"/>
      <c r="D130" s="159" t="n"/>
      <c r="E130" s="161" t="n"/>
      <c r="F130" s="187" t="n"/>
      <c r="G130" s="158" t="n"/>
      <c r="H130" s="210" t="n"/>
      <c r="I130" s="210" t="n"/>
      <c r="J130" s="210" t="n"/>
      <c r="K130" s="159" t="n"/>
      <c r="L130" s="158" t="n"/>
      <c r="M130" s="187" t="n"/>
      <c r="N130" s="159" t="n"/>
      <c r="O130" s="159" t="n"/>
      <c r="P130" s="187" t="n"/>
    </row>
    <row r="131">
      <c r="A131" s="187" t="n"/>
      <c r="B131" s="187" t="n"/>
      <c r="C131" s="158" t="n"/>
      <c r="D131" s="159" t="n"/>
      <c r="E131" s="187" t="n"/>
      <c r="F131" s="187" t="n"/>
      <c r="G131" s="158" t="n"/>
      <c r="H131" s="210" t="n"/>
      <c r="I131" s="210" t="n"/>
      <c r="J131" s="210" t="n"/>
      <c r="K131" s="159" t="n"/>
      <c r="L131" s="158" t="n"/>
      <c r="M131" s="187" t="n"/>
      <c r="N131" s="159" t="n"/>
      <c r="O131" s="159" t="n"/>
      <c r="P131" s="187" t="n"/>
    </row>
    <row r="132">
      <c r="A132" s="187" t="n"/>
      <c r="B132" s="187" t="n"/>
      <c r="C132" s="158" t="n"/>
      <c r="D132" s="159" t="n"/>
      <c r="E132" s="187" t="n"/>
      <c r="F132" s="187" t="n"/>
      <c r="G132" s="158" t="n"/>
      <c r="H132" s="210" t="n"/>
      <c r="I132" s="210" t="n"/>
      <c r="J132" s="210" t="n"/>
      <c r="K132" s="159" t="n"/>
      <c r="L132" s="158" t="n"/>
      <c r="M132" s="187" t="n"/>
      <c r="N132" s="159" t="n"/>
      <c r="O132" s="159" t="n"/>
      <c r="P132" s="187" t="n"/>
    </row>
    <row r="133">
      <c r="A133" s="187" t="n"/>
      <c r="B133" s="187" t="n"/>
      <c r="C133" s="158" t="n"/>
      <c r="D133" s="159" t="n"/>
      <c r="E133" s="187" t="n"/>
      <c r="F133" s="187" t="n"/>
      <c r="G133" s="158" t="n"/>
      <c r="H133" s="210" t="n"/>
      <c r="I133" s="210" t="n"/>
      <c r="J133" s="210" t="n"/>
      <c r="K133" s="159" t="n"/>
      <c r="L133" s="158" t="n"/>
      <c r="M133" s="187" t="n"/>
      <c r="N133" s="159" t="n"/>
      <c r="O133" s="159" t="n"/>
      <c r="P133" s="187" t="n"/>
    </row>
    <row r="134">
      <c r="A134" s="187" t="n"/>
      <c r="B134" s="187" t="n"/>
      <c r="C134" s="184" t="n"/>
      <c r="D134" s="159" t="n"/>
      <c r="E134" s="187" t="n"/>
      <c r="F134" s="187" t="n"/>
      <c r="G134" s="158" t="n"/>
      <c r="H134" s="210" t="n"/>
      <c r="I134" s="210" t="n"/>
      <c r="J134" s="210" t="n"/>
      <c r="K134" s="159" t="n"/>
      <c r="L134" s="159" t="n"/>
      <c r="M134" s="187" t="n"/>
      <c r="N134" s="159" t="n"/>
      <c r="O134" s="159" t="n"/>
      <c r="P134" s="187" t="n"/>
    </row>
    <row r="135">
      <c r="A135" s="187" t="n"/>
      <c r="B135" s="187" t="n"/>
      <c r="C135" s="158" t="n"/>
      <c r="D135" s="159" t="n"/>
      <c r="E135" s="187" t="n"/>
      <c r="F135" s="187" t="n"/>
      <c r="G135" s="158" t="n"/>
      <c r="H135" s="210" t="n"/>
      <c r="I135" s="210" t="n"/>
      <c r="J135" s="210" t="n"/>
      <c r="K135" s="159" t="n"/>
      <c r="L135" s="158" t="n"/>
      <c r="M135" s="187" t="n"/>
      <c r="N135" s="159" t="n"/>
      <c r="O135" s="159" t="n"/>
      <c r="P135" s="187" t="n"/>
    </row>
    <row r="136">
      <c r="A136" s="187" t="n"/>
      <c r="B136" s="187" t="n"/>
      <c r="C136" s="134" t="n"/>
      <c r="D136" s="135" t="n"/>
      <c r="E136" s="161" t="n"/>
      <c r="F136" s="161" t="n"/>
      <c r="G136" s="134" t="n"/>
      <c r="H136" s="295" t="n"/>
      <c r="I136" s="295" t="n"/>
      <c r="J136" s="295" t="n"/>
      <c r="K136" s="135" t="n"/>
      <c r="L136" s="134" t="n"/>
      <c r="M136" s="161" t="n"/>
      <c r="N136" s="135" t="n"/>
      <c r="O136" s="135" t="n"/>
      <c r="P136" s="187" t="n"/>
    </row>
    <row r="137">
      <c r="A137" s="194" t="n"/>
      <c r="B137" s="187" t="n"/>
      <c r="C137" s="180" t="n"/>
      <c r="D137" s="181" t="n"/>
      <c r="E137" s="194" t="n"/>
      <c r="F137" s="194" t="n"/>
      <c r="G137" s="180" t="n"/>
      <c r="H137" s="212" t="n"/>
      <c r="I137" s="212" t="n"/>
      <c r="J137" s="212" t="n"/>
      <c r="K137" s="181" t="n"/>
      <c r="L137" s="180" t="n"/>
      <c r="M137" s="194" t="n"/>
      <c r="N137" s="181" t="n"/>
      <c r="O137" s="181" t="n"/>
      <c r="P137" s="194" t="n"/>
    </row>
    <row r="138">
      <c r="A138" s="187" t="n"/>
      <c r="B138" s="187" t="n"/>
      <c r="C138" s="158" t="n"/>
      <c r="D138" s="159" t="n"/>
      <c r="E138" s="187" t="n"/>
      <c r="F138" s="187" t="n"/>
      <c r="G138" s="158" t="n"/>
      <c r="H138" s="210" t="n"/>
      <c r="I138" s="210" t="n"/>
      <c r="J138" s="210" t="n"/>
      <c r="K138" s="159" t="n"/>
      <c r="L138" s="158" t="n"/>
      <c r="M138" s="187" t="n"/>
      <c r="N138" s="159" t="n"/>
      <c r="O138" s="159" t="n"/>
      <c r="P138" s="187" t="n"/>
    </row>
    <row r="139">
      <c r="A139" s="187" t="n"/>
      <c r="B139" s="187" t="n"/>
      <c r="C139" s="134" t="n"/>
      <c r="D139" s="135" t="n"/>
      <c r="E139" s="161" t="n"/>
      <c r="F139" s="161" t="n"/>
      <c r="G139" s="134" t="n"/>
      <c r="H139" s="295" t="n"/>
      <c r="I139" s="295" t="n"/>
      <c r="J139" s="295" t="n"/>
      <c r="K139" s="135" t="n"/>
      <c r="L139" s="134" t="n"/>
      <c r="M139" s="161" t="n"/>
      <c r="N139" s="135" t="n"/>
      <c r="O139" s="135" t="n"/>
      <c r="P139" s="161" t="n"/>
    </row>
    <row r="140">
      <c r="A140" s="187" t="n"/>
      <c r="B140" s="187" t="n"/>
      <c r="C140" s="134" t="n"/>
      <c r="D140" s="135" t="n"/>
      <c r="E140" s="161" t="n"/>
      <c r="F140" s="161" t="n"/>
      <c r="G140" s="134" t="n"/>
      <c r="H140" s="295" t="n"/>
      <c r="I140" s="295" t="n"/>
      <c r="J140" s="295" t="n"/>
      <c r="K140" s="135" t="n"/>
      <c r="L140" s="134" t="n"/>
      <c r="M140" s="161" t="n"/>
      <c r="N140" s="135" t="n"/>
      <c r="O140" s="135" t="n"/>
      <c r="P140" s="161" t="n"/>
    </row>
    <row r="141">
      <c r="A141" s="183" t="n"/>
      <c r="B141" s="187" t="n"/>
      <c r="C141" s="184" t="n"/>
      <c r="D141" s="185" t="n"/>
      <c r="E141" s="186" t="n"/>
      <c r="F141" s="186" t="n"/>
      <c r="G141" s="184" t="n"/>
      <c r="H141" s="242" t="n"/>
      <c r="I141" s="242" t="n"/>
      <c r="J141" s="242" t="n"/>
      <c r="K141" s="185" t="n"/>
      <c r="L141" s="184" t="n"/>
      <c r="M141" s="186" t="n"/>
      <c r="N141" s="185" t="n"/>
      <c r="O141" s="185" t="n"/>
      <c r="P141" s="186" t="n"/>
    </row>
    <row r="142">
      <c r="A142" s="187" t="n"/>
      <c r="B142" s="187" t="n"/>
      <c r="C142" s="134" t="n"/>
      <c r="D142" s="135" t="n"/>
      <c r="E142" s="161" t="n"/>
      <c r="F142" s="161" t="n"/>
      <c r="G142" s="134" t="n"/>
      <c r="H142" s="295" t="n"/>
      <c r="I142" s="295" t="n"/>
      <c r="J142" s="295" t="n"/>
      <c r="K142" s="135" t="n"/>
      <c r="L142" s="134" t="n"/>
      <c r="M142" s="161" t="n"/>
      <c r="N142" s="135" t="n"/>
      <c r="O142" s="135" t="n"/>
      <c r="P142" s="161" t="n"/>
    </row>
    <row r="143">
      <c r="A143" s="187" t="n"/>
      <c r="B143" s="187" t="n"/>
      <c r="C143" s="134" t="n"/>
      <c r="D143" s="135" t="n"/>
      <c r="E143" s="161" t="n"/>
      <c r="F143" s="161" t="n"/>
      <c r="G143" s="134" t="n"/>
      <c r="H143" s="295" t="n"/>
      <c r="I143" s="295" t="n"/>
      <c r="J143" s="295" t="n"/>
      <c r="K143" s="135" t="n"/>
      <c r="L143" s="134" t="n"/>
      <c r="M143" s="161" t="n"/>
      <c r="N143" s="135" t="n"/>
      <c r="O143" s="135" t="n"/>
      <c r="P143" s="161" t="n"/>
    </row>
    <row r="144">
      <c r="A144" s="187" t="n"/>
      <c r="B144" s="187" t="n"/>
      <c r="C144" s="158" t="n"/>
      <c r="D144" s="159" t="n"/>
      <c r="E144" s="187" t="n"/>
      <c r="F144" s="187" t="n"/>
      <c r="G144" s="158" t="n"/>
      <c r="H144" s="210" t="n"/>
      <c r="I144" s="210" t="n"/>
      <c r="J144" s="210" t="n"/>
      <c r="K144" s="159" t="n"/>
      <c r="L144" s="160" t="n"/>
      <c r="M144" s="187" t="n"/>
      <c r="N144" s="159" t="n"/>
      <c r="O144" s="159" t="n"/>
      <c r="P144" s="187" t="n"/>
    </row>
    <row r="145">
      <c r="A145" s="187" t="n"/>
      <c r="B145" s="187" t="n"/>
      <c r="C145" s="134" t="n"/>
      <c r="D145" s="135" t="n"/>
      <c r="E145" s="161" t="n"/>
      <c r="F145" s="161" t="n"/>
      <c r="G145" s="134" t="n"/>
      <c r="H145" s="295" t="n"/>
      <c r="I145" s="295" t="n"/>
      <c r="J145" s="295" t="n"/>
      <c r="K145" s="135" t="n"/>
      <c r="L145" s="134" t="n"/>
      <c r="M145" s="161" t="n"/>
      <c r="N145" s="135" t="n"/>
      <c r="O145" s="135" t="n"/>
      <c r="P145" s="161" t="n"/>
    </row>
    <row r="146">
      <c r="A146" s="187" t="n"/>
      <c r="B146" s="187" t="n"/>
      <c r="C146" s="158" t="n"/>
      <c r="D146" s="159" t="n"/>
      <c r="E146" s="187" t="n"/>
      <c r="F146" s="187" t="n"/>
      <c r="G146" s="158" t="n"/>
      <c r="H146" s="210" t="n"/>
      <c r="I146" s="210" t="n"/>
      <c r="J146" s="210" t="n"/>
      <c r="K146" s="159" t="n"/>
      <c r="L146" s="158" t="n"/>
      <c r="M146" s="187" t="n"/>
      <c r="N146" s="159" t="n"/>
      <c r="O146" s="159" t="n"/>
      <c r="P146" s="187" t="n"/>
    </row>
    <row r="147" customFormat="1" s="192">
      <c r="A147" s="187" t="n"/>
      <c r="B147" s="187" t="n"/>
      <c r="C147" s="158" t="n"/>
      <c r="D147" s="159" t="n"/>
      <c r="E147" s="187" t="n"/>
      <c r="F147" s="187" t="n"/>
      <c r="G147" s="158" t="n"/>
      <c r="H147" s="210" t="n"/>
      <c r="I147" s="210" t="n"/>
      <c r="J147" s="210" t="n"/>
      <c r="K147" s="159" t="n"/>
      <c r="L147" s="158" t="n"/>
      <c r="M147" s="187" t="n"/>
      <c r="N147" s="159" t="n"/>
      <c r="O147" s="159" t="n"/>
      <c r="P147" s="187" t="n"/>
    </row>
    <row r="148">
      <c r="A148" s="187" t="n"/>
      <c r="B148" s="187" t="n"/>
      <c r="C148" s="158" t="n"/>
      <c r="D148" s="159" t="n"/>
      <c r="E148" s="187" t="n"/>
      <c r="F148" s="191" t="n"/>
      <c r="G148" s="158" t="n"/>
      <c r="H148" s="210" t="n"/>
      <c r="I148" s="210" t="n"/>
      <c r="J148" s="210" t="n"/>
      <c r="K148" s="159" t="n"/>
      <c r="L148" s="158" t="n"/>
      <c r="M148" s="187" t="n"/>
      <c r="N148" s="159" t="n"/>
      <c r="O148" s="159" t="n"/>
      <c r="P148" s="187" t="n"/>
    </row>
    <row r="149">
      <c r="A149" s="187" t="n"/>
      <c r="B149" s="187" t="n"/>
      <c r="C149" s="158" t="n"/>
      <c r="D149" s="159" t="n"/>
      <c r="E149" s="187" t="n"/>
      <c r="F149" s="187" t="n"/>
      <c r="G149" s="158" t="n"/>
      <c r="H149" s="210" t="n"/>
      <c r="I149" s="210" t="n"/>
      <c r="J149" s="210" t="n"/>
      <c r="K149" s="159" t="n"/>
      <c r="L149" s="158" t="n"/>
      <c r="M149" s="187" t="n"/>
      <c r="N149" s="159" t="n"/>
      <c r="O149" s="159" t="n"/>
      <c r="P149" s="187" t="n"/>
    </row>
    <row r="150">
      <c r="A150" s="187" t="n"/>
      <c r="B150" s="187" t="n"/>
      <c r="C150" s="158" t="n"/>
      <c r="D150" s="159" t="n"/>
      <c r="E150" s="187" t="n"/>
      <c r="F150" s="187" t="n"/>
      <c r="G150" s="158" t="n"/>
      <c r="H150" s="210" t="n"/>
      <c r="I150" s="210" t="n"/>
      <c r="J150" s="210" t="n"/>
      <c r="K150" s="159" t="n"/>
      <c r="L150" s="158" t="n"/>
      <c r="M150" s="187" t="n"/>
      <c r="N150" s="159" t="n"/>
      <c r="O150" s="159" t="n"/>
      <c r="P150" s="187" t="n"/>
    </row>
    <row r="151">
      <c r="A151" s="187" t="n"/>
      <c r="B151" s="187" t="n"/>
      <c r="C151" s="158" t="n"/>
      <c r="D151" s="159" t="n"/>
      <c r="E151" s="187" t="n"/>
      <c r="F151" s="187" t="n"/>
      <c r="G151" s="158" t="n"/>
      <c r="H151" s="210" t="n"/>
      <c r="I151" s="210" t="n"/>
      <c r="J151" s="210" t="n"/>
      <c r="K151" s="159" t="n"/>
      <c r="L151" s="158" t="n"/>
      <c r="M151" s="187" t="n"/>
      <c r="N151" s="159" t="n"/>
      <c r="O151" s="159" t="n"/>
      <c r="P151" s="187" t="n"/>
    </row>
    <row r="152">
      <c r="A152" s="194" t="n"/>
      <c r="B152" s="187" t="n"/>
      <c r="C152" s="178" t="n"/>
      <c r="D152" s="179" t="n"/>
      <c r="E152" s="177" t="n"/>
      <c r="F152" s="177" t="n"/>
      <c r="G152" s="178" t="n"/>
      <c r="H152" s="211" t="n"/>
      <c r="I152" s="211" t="n"/>
      <c r="J152" s="211" t="n"/>
      <c r="K152" s="179" t="n"/>
      <c r="L152" s="178" t="n"/>
      <c r="M152" s="177" t="n"/>
      <c r="N152" s="179" t="n"/>
      <c r="O152" s="179" t="n"/>
      <c r="P152" s="177" t="n"/>
    </row>
    <row r="153">
      <c r="A153" s="187" t="n"/>
      <c r="B153" s="187" t="n"/>
      <c r="C153" s="134" t="n"/>
      <c r="D153" s="135" t="n"/>
      <c r="E153" s="161" t="n"/>
      <c r="F153" s="161" t="n"/>
      <c r="G153" s="134" t="n"/>
      <c r="H153" s="295" t="n"/>
      <c r="I153" s="295" t="n"/>
      <c r="J153" s="295" t="n"/>
      <c r="K153" s="135" t="n"/>
      <c r="L153" s="134" t="n"/>
      <c r="M153" s="161" t="n"/>
      <c r="N153" s="135" t="n"/>
      <c r="O153" s="135" t="n"/>
      <c r="P153" s="161" t="n"/>
    </row>
    <row r="154">
      <c r="A154" s="187" t="n"/>
      <c r="B154" s="187" t="n"/>
      <c r="C154" s="158" t="n"/>
      <c r="D154" s="159" t="n"/>
      <c r="E154" s="187" t="n"/>
      <c r="F154" s="187" t="n"/>
      <c r="G154" s="158" t="n"/>
      <c r="H154" s="210" t="n"/>
      <c r="I154" s="210" t="n"/>
      <c r="J154" s="210" t="n"/>
      <c r="K154" s="159" t="n"/>
      <c r="L154" s="158" t="n"/>
      <c r="M154" s="187" t="n"/>
      <c r="N154" s="159" t="n"/>
      <c r="O154" s="159" t="n"/>
      <c r="P154" s="187" t="n"/>
    </row>
    <row r="155">
      <c r="A155" s="187" t="n"/>
      <c r="B155" s="187" t="n"/>
      <c r="C155" s="158" t="n"/>
      <c r="D155" s="159" t="n"/>
      <c r="E155" s="187" t="n"/>
      <c r="F155" s="187" t="n"/>
      <c r="G155" s="158" t="n"/>
      <c r="H155" s="210" t="n"/>
      <c r="I155" s="210" t="n"/>
      <c r="J155" s="210" t="n"/>
      <c r="K155" s="159" t="n"/>
      <c r="L155" s="158" t="n"/>
      <c r="M155" s="187" t="n"/>
      <c r="N155" s="159" t="n"/>
      <c r="O155" s="159" t="n"/>
      <c r="P155" s="187" t="n"/>
    </row>
    <row r="156">
      <c r="A156" s="187" t="n"/>
      <c r="B156" s="187" t="n"/>
      <c r="C156" s="158" t="n"/>
      <c r="D156" s="159" t="n"/>
      <c r="E156" s="187" t="n"/>
      <c r="F156" s="187" t="n"/>
      <c r="G156" s="158" t="n"/>
      <c r="H156" s="210" t="n"/>
      <c r="I156" s="210" t="n"/>
      <c r="J156" s="210" t="n"/>
      <c r="K156" s="159" t="n"/>
      <c r="L156" s="158" t="n"/>
      <c r="M156" s="187" t="n"/>
      <c r="N156" s="159" t="n"/>
      <c r="O156" s="159" t="n"/>
      <c r="P156" s="187" t="n"/>
    </row>
    <row r="157">
      <c r="A157" s="187" t="n"/>
      <c r="B157" s="187" t="n"/>
      <c r="C157" s="158" t="n"/>
      <c r="D157" s="159" t="n"/>
      <c r="E157" s="187" t="n"/>
      <c r="F157" s="187" t="n"/>
      <c r="G157" s="158" t="n"/>
      <c r="H157" s="210" t="n"/>
      <c r="I157" s="210" t="n"/>
      <c r="J157" s="210" t="n"/>
      <c r="K157" s="159" t="n"/>
      <c r="L157" s="158" t="n"/>
      <c r="M157" s="187" t="n"/>
      <c r="N157" s="159" t="n"/>
      <c r="O157" s="159" t="n"/>
      <c r="P157" s="187" t="n"/>
    </row>
    <row r="158">
      <c r="A158" s="187" t="n"/>
      <c r="B158" s="187" t="n"/>
      <c r="C158" s="158" t="n"/>
      <c r="D158" s="159" t="n"/>
      <c r="E158" s="187" t="n"/>
      <c r="F158" s="187" t="n"/>
      <c r="G158" s="158" t="n"/>
      <c r="H158" s="210" t="n"/>
      <c r="I158" s="210" t="n"/>
      <c r="J158" s="210" t="n"/>
      <c r="K158" s="159" t="n"/>
      <c r="L158" s="158" t="n"/>
      <c r="M158" s="187" t="n"/>
      <c r="N158" s="159" t="n"/>
      <c r="O158" s="159" t="n"/>
      <c r="P158" s="187" t="n"/>
    </row>
    <row r="159">
      <c r="A159" s="194" t="n"/>
      <c r="B159" s="187" t="n"/>
      <c r="C159" s="180" t="n"/>
      <c r="D159" s="181" t="n"/>
      <c r="E159" s="194" t="n"/>
      <c r="F159" s="194" t="n"/>
      <c r="G159" s="180" t="n"/>
      <c r="H159" s="212" t="n"/>
      <c r="I159" s="212" t="n"/>
      <c r="J159" s="212" t="n"/>
      <c r="K159" s="181" t="n"/>
      <c r="L159" s="180" t="n"/>
      <c r="M159" s="194" t="n"/>
      <c r="N159" s="181" t="n"/>
      <c r="O159" s="181" t="n"/>
      <c r="P159" s="194" t="n"/>
    </row>
    <row r="160">
      <c r="A160" s="187" t="n"/>
      <c r="B160" s="187" t="n"/>
      <c r="C160" s="134" t="n"/>
      <c r="D160" s="135" t="n"/>
      <c r="E160" s="161" t="n"/>
      <c r="F160" s="161" t="n"/>
      <c r="G160" s="134" t="n"/>
      <c r="H160" s="295" t="n"/>
      <c r="I160" s="295" t="n"/>
      <c r="J160" s="295" t="n"/>
      <c r="K160" s="135" t="n"/>
      <c r="L160" s="134" t="n"/>
      <c r="M160" s="161" t="n"/>
      <c r="N160" s="135" t="n"/>
      <c r="O160" s="135" t="n"/>
      <c r="P160" s="161" t="n"/>
    </row>
    <row r="161">
      <c r="A161" s="187" t="n"/>
      <c r="B161" s="187" t="n"/>
      <c r="C161" s="158" t="n"/>
      <c r="D161" s="159" t="n"/>
      <c r="E161" s="187" t="n"/>
      <c r="F161" s="187" t="n"/>
      <c r="G161" s="158" t="n"/>
      <c r="H161" s="210" t="n"/>
      <c r="I161" s="210" t="n"/>
      <c r="J161" s="210" t="n"/>
      <c r="K161" s="159" t="n"/>
      <c r="L161" s="158" t="n"/>
      <c r="M161" s="187" t="n"/>
      <c r="N161" s="159" t="n"/>
      <c r="O161" s="159" t="n"/>
      <c r="P161" s="187" t="n"/>
    </row>
    <row r="162">
      <c r="A162" s="194" t="n"/>
      <c r="B162" s="187" t="n"/>
      <c r="C162" s="180" t="n"/>
      <c r="D162" s="179" t="n"/>
      <c r="E162" s="177" t="n"/>
      <c r="F162" s="177" t="n"/>
      <c r="G162" s="178" t="n"/>
      <c r="H162" s="211" t="n"/>
      <c r="I162" s="211" t="n"/>
      <c r="J162" s="211" t="n"/>
      <c r="K162" s="179" t="n"/>
      <c r="L162" s="178" t="n"/>
      <c r="M162" s="177" t="n"/>
      <c r="N162" s="179" t="n"/>
      <c r="O162" s="179" t="n"/>
      <c r="P162" s="177" t="n"/>
    </row>
    <row r="163">
      <c r="A163" s="187" t="n"/>
      <c r="B163" s="187" t="n"/>
      <c r="C163" s="158" t="n"/>
      <c r="D163" s="135" t="n"/>
      <c r="E163" s="187" t="n"/>
      <c r="F163" s="187" t="n"/>
      <c r="G163" s="158" t="n"/>
      <c r="H163" s="210" t="n"/>
      <c r="I163" s="210" t="n"/>
      <c r="J163" s="210" t="n"/>
      <c r="K163" s="159" t="n"/>
      <c r="L163" s="158" t="n"/>
      <c r="M163" s="187" t="n"/>
      <c r="N163" s="159" t="n"/>
      <c r="O163" s="159" t="n"/>
      <c r="P163" s="187" t="n"/>
    </row>
    <row r="164">
      <c r="A164" s="187" t="n"/>
      <c r="B164" s="187" t="n"/>
      <c r="C164" s="158" t="n"/>
      <c r="D164" s="135" t="n"/>
      <c r="E164" s="187" t="n"/>
      <c r="F164" s="187" t="n"/>
      <c r="G164" s="158" t="n"/>
      <c r="H164" s="210" t="n"/>
      <c r="I164" s="210" t="n"/>
      <c r="J164" s="210" t="n"/>
      <c r="K164" s="159" t="n"/>
      <c r="L164" s="158" t="n"/>
      <c r="M164" s="187" t="n"/>
      <c r="N164" s="159" t="n"/>
      <c r="O164" s="159" t="n"/>
      <c r="P164" s="187" t="n"/>
    </row>
    <row r="165">
      <c r="A165" s="187" t="n"/>
      <c r="B165" s="187" t="n"/>
      <c r="C165" s="158" t="n"/>
      <c r="D165" s="159" t="n"/>
      <c r="E165" s="187" t="n"/>
      <c r="F165" s="187" t="n"/>
      <c r="G165" s="158" t="n"/>
      <c r="H165" s="210" t="n"/>
      <c r="I165" s="210" t="n"/>
      <c r="J165" s="210" t="n"/>
      <c r="K165" s="159" t="n"/>
      <c r="L165" s="158" t="n"/>
      <c r="M165" s="187" t="n"/>
      <c r="N165" s="159" t="n"/>
      <c r="O165" s="159" t="n"/>
      <c r="P165" s="187" t="n"/>
    </row>
    <row r="166">
      <c r="A166" s="187" t="n"/>
      <c r="B166" s="187" t="n"/>
      <c r="C166" s="158" t="n"/>
      <c r="D166" s="159" t="n"/>
      <c r="E166" s="187" t="n"/>
      <c r="F166" s="187" t="n"/>
      <c r="G166" s="158" t="n"/>
      <c r="H166" s="210" t="n"/>
      <c r="I166" s="210" t="n"/>
      <c r="J166" s="210" t="n"/>
      <c r="K166" s="159" t="n"/>
      <c r="L166" s="158" t="n"/>
      <c r="M166" s="187" t="n"/>
      <c r="N166" s="159" t="n"/>
      <c r="O166" s="159" t="n"/>
      <c r="P166" s="187" t="n"/>
    </row>
    <row r="167">
      <c r="A167" s="187" t="n"/>
      <c r="B167" s="187" t="n"/>
      <c r="C167" s="158" t="n"/>
      <c r="D167" s="159" t="n"/>
      <c r="E167" s="187" t="n"/>
      <c r="F167" s="187" t="n"/>
      <c r="G167" s="158" t="n"/>
      <c r="H167" s="210" t="n"/>
      <c r="I167" s="210" t="n"/>
      <c r="J167" s="210" t="n"/>
      <c r="K167" s="159" t="n"/>
      <c r="L167" s="158" t="n"/>
      <c r="M167" s="187" t="n"/>
      <c r="N167" s="159" t="n"/>
      <c r="O167" s="159" t="n"/>
      <c r="P167" s="187" t="n"/>
    </row>
    <row r="168">
      <c r="A168" s="194" t="n"/>
      <c r="B168" s="187" t="n"/>
      <c r="C168" s="180" t="n"/>
      <c r="D168" s="179" t="n"/>
      <c r="E168" s="177" t="n"/>
      <c r="F168" s="197" t="n"/>
      <c r="G168" s="178" t="n"/>
      <c r="H168" s="211" t="n"/>
      <c r="I168" s="211" t="n"/>
      <c r="J168" s="211" t="n"/>
      <c r="K168" s="179" t="n"/>
      <c r="L168" s="178" t="n"/>
      <c r="M168" s="177" t="n"/>
      <c r="N168" s="179" t="n"/>
      <c r="O168" s="179" t="n"/>
      <c r="P168" s="177" t="n"/>
    </row>
    <row r="169">
      <c r="A169" s="187" t="n"/>
      <c r="B169" s="187" t="n"/>
      <c r="C169" s="158" t="n"/>
      <c r="D169" s="159" t="n"/>
      <c r="E169" s="187" t="n"/>
      <c r="F169" s="187" t="n"/>
      <c r="G169" s="158" t="n"/>
      <c r="H169" s="210" t="n"/>
      <c r="I169" s="210" t="n"/>
      <c r="J169" s="210" t="n"/>
      <c r="K169" s="159" t="n"/>
      <c r="L169" s="158" t="n"/>
      <c r="M169" s="187" t="n"/>
      <c r="N169" s="159" t="n"/>
      <c r="O169" s="159" t="n"/>
      <c r="P169" s="187" t="n"/>
    </row>
    <row r="170">
      <c r="A170" s="194" t="n"/>
      <c r="B170" s="187" t="n"/>
      <c r="C170" s="180" t="n"/>
      <c r="D170" s="181" t="n"/>
      <c r="E170" s="194" t="n"/>
      <c r="F170" s="194" t="n"/>
      <c r="G170" s="180" t="n"/>
      <c r="H170" s="212" t="n"/>
      <c r="I170" s="212" t="n"/>
      <c r="J170" s="212" t="n"/>
      <c r="K170" s="181" t="n"/>
      <c r="L170" s="180" t="n"/>
      <c r="M170" s="194" t="n"/>
      <c r="N170" s="181" t="n"/>
      <c r="O170" s="181" t="n"/>
      <c r="P170" s="194" t="n"/>
    </row>
    <row r="171" customFormat="1" s="143">
      <c r="A171" s="187" t="n"/>
      <c r="B171" s="187" t="n"/>
      <c r="C171" s="158" t="n"/>
      <c r="D171" s="159" t="n"/>
      <c r="E171" s="187" t="n"/>
      <c r="F171" s="187" t="n"/>
      <c r="G171" s="158" t="n"/>
      <c r="H171" s="210" t="n"/>
      <c r="I171" s="210" t="n"/>
      <c r="J171" s="210" t="n"/>
      <c r="K171" s="159" t="n"/>
      <c r="L171" s="158" t="n"/>
      <c r="M171" s="187" t="n"/>
      <c r="N171" s="159" t="n"/>
      <c r="O171" s="159" t="n"/>
      <c r="P171" s="187" t="n"/>
    </row>
    <row r="172">
      <c r="A172" s="187" t="n"/>
      <c r="B172" s="187" t="n"/>
      <c r="C172" s="158" t="n"/>
      <c r="D172" s="159" t="n"/>
      <c r="E172" s="187" t="n"/>
      <c r="F172" s="187" t="n"/>
      <c r="G172" s="158" t="n"/>
      <c r="H172" s="210" t="n"/>
      <c r="I172" s="210" t="n"/>
      <c r="J172" s="210" t="n"/>
      <c r="K172" s="159" t="n"/>
      <c r="L172" s="158" t="n"/>
      <c r="M172" s="187" t="n"/>
      <c r="N172" s="159" t="n"/>
      <c r="O172" s="159" t="n"/>
      <c r="P172" s="187" t="n"/>
    </row>
    <row r="173">
      <c r="A173" s="187" t="n"/>
      <c r="B173" s="187" t="n"/>
      <c r="C173" s="158" t="n"/>
      <c r="D173" s="135" t="n"/>
      <c r="E173" s="161" t="n"/>
      <c r="F173" s="161" t="n"/>
      <c r="G173" s="134" t="n"/>
      <c r="H173" s="295" t="n"/>
      <c r="I173" s="295" t="n"/>
      <c r="J173" s="295" t="n"/>
      <c r="K173" s="135" t="n"/>
      <c r="L173" s="134" t="n"/>
      <c r="M173" s="161" t="n"/>
      <c r="N173" s="135" t="n"/>
      <c r="O173" s="135" t="n"/>
      <c r="P173" s="161" t="n"/>
    </row>
    <row r="174" customFormat="1" s="142">
      <c r="A174" s="187" t="n"/>
      <c r="B174" s="187" t="n"/>
      <c r="C174" s="158" t="n"/>
      <c r="D174" s="159" t="n"/>
      <c r="E174" s="187" t="n"/>
      <c r="F174" s="187" t="n"/>
      <c r="G174" s="158" t="n"/>
      <c r="H174" s="210" t="n"/>
      <c r="I174" s="210" t="n"/>
      <c r="J174" s="210" t="n"/>
      <c r="K174" s="159" t="n"/>
      <c r="L174" s="158" t="n"/>
      <c r="M174" s="187" t="n"/>
      <c r="N174" s="159" t="n"/>
      <c r="O174" s="159" t="n"/>
      <c r="P174" s="187" t="n"/>
    </row>
    <row r="175">
      <c r="A175" s="187" t="n"/>
      <c r="B175" s="187" t="n"/>
      <c r="C175" s="158" t="n"/>
      <c r="D175" s="159" t="n"/>
      <c r="E175" s="187" t="n"/>
      <c r="F175" s="187" t="n"/>
      <c r="G175" s="158" t="n"/>
      <c r="H175" s="210" t="n"/>
      <c r="I175" s="210" t="n"/>
      <c r="J175" s="210" t="n"/>
      <c r="K175" s="159" t="n"/>
      <c r="L175" s="158" t="n"/>
      <c r="M175" s="187" t="n"/>
      <c r="N175" s="159" t="n"/>
      <c r="O175" s="159" t="n"/>
      <c r="P175" s="187" t="n"/>
    </row>
    <row r="176">
      <c r="A176" s="187" t="n"/>
      <c r="B176" s="187" t="n"/>
      <c r="C176" s="158" t="n"/>
      <c r="D176" s="159" t="n"/>
      <c r="E176" s="187" t="n"/>
      <c r="F176" s="187" t="n"/>
      <c r="G176" s="158" t="n"/>
      <c r="H176" s="210" t="n"/>
      <c r="I176" s="210" t="n"/>
      <c r="J176" s="210" t="n"/>
      <c r="K176" s="159" t="n"/>
      <c r="L176" s="158" t="n"/>
      <c r="M176" s="187" t="n"/>
      <c r="N176" s="159" t="n"/>
      <c r="O176" s="159" t="n"/>
      <c r="P176" s="187" t="n"/>
    </row>
    <row r="177" customFormat="1" s="143">
      <c r="A177" s="187" t="n"/>
      <c r="B177" s="187" t="n"/>
      <c r="C177" s="158" t="n"/>
      <c r="D177" s="158" t="n"/>
      <c r="E177" s="187" t="n"/>
      <c r="F177" s="187" t="n"/>
      <c r="G177" s="158" t="n"/>
      <c r="H177" s="210" t="n"/>
      <c r="I177" s="210" t="n"/>
      <c r="J177" s="210" t="n"/>
      <c r="K177" s="159" t="n"/>
      <c r="L177" s="158" t="n"/>
      <c r="M177" s="187" t="n"/>
      <c r="N177" s="159" t="n"/>
      <c r="O177" s="159" t="n"/>
      <c r="P177" s="187" t="n"/>
    </row>
    <row r="178">
      <c r="A178" s="187" t="n"/>
      <c r="B178" s="187" t="n"/>
      <c r="C178" s="134" t="n"/>
      <c r="D178" s="135" t="n"/>
      <c r="E178" s="161" t="n"/>
      <c r="F178" s="161" t="n"/>
      <c r="G178" s="134" t="n"/>
      <c r="H178" s="295" t="n"/>
      <c r="I178" s="295" t="n"/>
      <c r="J178" s="295" t="n"/>
      <c r="K178" s="135" t="n"/>
      <c r="L178" s="134" t="n"/>
      <c r="M178" s="161" t="n"/>
      <c r="N178" s="135" t="n"/>
      <c r="O178" s="135" t="n"/>
      <c r="P178" s="161" t="n"/>
    </row>
    <row r="179">
      <c r="A179" s="187" t="n"/>
      <c r="B179" s="187" t="n"/>
      <c r="C179" s="134" t="n"/>
      <c r="D179" s="135" t="n"/>
      <c r="E179" s="161" t="n"/>
      <c r="F179" s="161" t="n"/>
      <c r="G179" s="134" t="n"/>
      <c r="H179" s="295" t="n"/>
      <c r="I179" s="295" t="n"/>
      <c r="J179" s="295" t="n"/>
      <c r="K179" s="135" t="n"/>
      <c r="L179" s="134" t="n"/>
      <c r="M179" s="161" t="n"/>
      <c r="N179" s="135" t="n"/>
      <c r="O179" s="135" t="n"/>
      <c r="P179" s="161" t="n"/>
    </row>
    <row r="180">
      <c r="A180" s="183" t="n"/>
      <c r="B180" s="187" t="n"/>
      <c r="C180" s="188" t="n"/>
      <c r="D180" s="185" t="n"/>
      <c r="E180" s="183" t="n"/>
      <c r="F180" s="183" t="n"/>
      <c r="G180" s="188" t="n"/>
      <c r="H180" s="243" t="n"/>
      <c r="I180" s="243" t="n"/>
      <c r="J180" s="243" t="n"/>
      <c r="K180" s="189" t="n"/>
      <c r="L180" s="188" t="n"/>
      <c r="M180" s="183" t="n"/>
      <c r="N180" s="189" t="n"/>
      <c r="O180" s="189" t="n"/>
      <c r="P180" s="183" t="n"/>
    </row>
    <row r="181">
      <c r="A181" s="187" t="n"/>
      <c r="B181" s="187" t="n"/>
      <c r="C181" s="134" t="n"/>
      <c r="D181" s="135" t="n"/>
      <c r="E181" s="161" t="n"/>
      <c r="F181" s="161" t="n"/>
      <c r="G181" s="134" t="n"/>
      <c r="H181" s="295" t="n"/>
      <c r="I181" s="295" t="n"/>
      <c r="J181" s="295" t="n"/>
      <c r="K181" s="135" t="n"/>
      <c r="L181" s="134" t="n"/>
      <c r="M181" s="161" t="n"/>
      <c r="N181" s="135" t="n"/>
      <c r="O181" s="135" t="n"/>
      <c r="P181" s="161" t="n"/>
    </row>
    <row r="182">
      <c r="A182" s="187" t="n"/>
      <c r="B182" s="187" t="n"/>
      <c r="C182" s="134" t="n"/>
      <c r="D182" s="159" t="n"/>
      <c r="E182" s="161" t="n"/>
      <c r="F182" s="161" t="n"/>
      <c r="G182" s="134" t="n"/>
      <c r="H182" s="295" t="n"/>
      <c r="I182" s="295" t="n"/>
      <c r="J182" s="295" t="n"/>
      <c r="K182" s="135" t="n"/>
      <c r="L182" s="134" t="n"/>
      <c r="M182" s="161" t="n"/>
      <c r="N182" s="135" t="n"/>
      <c r="O182" s="135" t="n"/>
      <c r="P182" s="161" t="n"/>
    </row>
    <row r="183">
      <c r="A183" s="187" t="n"/>
      <c r="B183" s="187" t="n"/>
      <c r="C183" s="134" t="n"/>
      <c r="D183" s="135" t="n"/>
      <c r="E183" s="161" t="n"/>
      <c r="F183" s="161" t="n"/>
      <c r="G183" s="134" t="n"/>
      <c r="H183" s="295" t="n"/>
      <c r="I183" s="295" t="n"/>
      <c r="J183" s="295" t="n"/>
      <c r="K183" s="135" t="n"/>
      <c r="L183" s="134" t="n"/>
      <c r="M183" s="161" t="n"/>
      <c r="N183" s="135" t="n"/>
      <c r="O183" s="135" t="n"/>
      <c r="P183" s="161" t="n"/>
    </row>
    <row r="184">
      <c r="A184" s="194" t="n"/>
      <c r="B184" s="187" t="n"/>
      <c r="C184" s="178" t="n"/>
      <c r="D184" s="179" t="n"/>
      <c r="E184" s="177" t="n"/>
      <c r="F184" s="177" t="n"/>
      <c r="G184" s="178" t="n"/>
      <c r="H184" s="211" t="n"/>
      <c r="I184" s="211" t="n"/>
      <c r="J184" s="211" t="n"/>
      <c r="K184" s="179" t="n"/>
      <c r="L184" s="178" t="n"/>
      <c r="M184" s="177" t="n"/>
      <c r="N184" s="179" t="n"/>
      <c r="O184" s="179" t="n"/>
      <c r="P184" s="177" t="n"/>
    </row>
    <row r="185">
      <c r="A185" s="187" t="n"/>
      <c r="B185" s="187" t="n"/>
      <c r="C185" s="134" t="n"/>
      <c r="D185" s="135" t="n"/>
      <c r="E185" s="161" t="n"/>
      <c r="F185" s="161" t="n"/>
      <c r="G185" s="134" t="n"/>
      <c r="H185" s="295" t="n"/>
      <c r="I185" s="295" t="n"/>
      <c r="J185" s="295" t="n"/>
      <c r="K185" s="135" t="n"/>
      <c r="L185" s="134" t="n"/>
      <c r="M185" s="161" t="n"/>
      <c r="N185" s="135" t="n"/>
      <c r="O185" s="135" t="n"/>
      <c r="P185" s="161" t="n"/>
    </row>
    <row r="186">
      <c r="A186" s="187" t="n"/>
      <c r="B186" s="187" t="n"/>
      <c r="C186" s="134" t="n"/>
      <c r="D186" s="135" t="n"/>
      <c r="E186" s="161" t="n"/>
      <c r="F186" s="161" t="n"/>
      <c r="G186" s="134" t="n"/>
      <c r="H186" s="295" t="n"/>
      <c r="I186" s="295" t="n"/>
      <c r="J186" s="295" t="n"/>
      <c r="K186" s="135" t="n"/>
      <c r="L186" s="134" t="n"/>
      <c r="M186" s="161" t="n"/>
      <c r="N186" s="135" t="n"/>
      <c r="O186" s="135" t="n"/>
      <c r="P186" s="161" t="n"/>
    </row>
    <row r="187">
      <c r="A187" s="187" t="n"/>
      <c r="B187" s="187" t="n"/>
      <c r="C187" s="158" t="n"/>
      <c r="D187" s="159" t="n"/>
      <c r="E187" s="187" t="n"/>
      <c r="F187" s="187" t="n"/>
      <c r="G187" s="158" t="n"/>
      <c r="H187" s="210" t="n"/>
      <c r="I187" s="210" t="n"/>
      <c r="J187" s="210" t="n"/>
      <c r="K187" s="159" t="n"/>
      <c r="L187" s="158" t="n"/>
      <c r="M187" s="187" t="n"/>
      <c r="N187" s="159" t="n"/>
      <c r="O187" s="159" t="n"/>
      <c r="P187" s="187" t="n"/>
    </row>
    <row r="188">
      <c r="A188" s="187" t="n"/>
      <c r="B188" s="187" t="n"/>
      <c r="C188" s="158" t="n"/>
      <c r="D188" s="159" t="n"/>
      <c r="E188" s="187" t="n"/>
      <c r="F188" s="187" t="n"/>
      <c r="G188" s="158" t="n"/>
      <c r="H188" s="210" t="n"/>
      <c r="I188" s="210" t="n"/>
      <c r="J188" s="210" t="n"/>
      <c r="K188" s="159" t="n"/>
      <c r="L188" s="158" t="n"/>
      <c r="M188" s="187" t="n"/>
      <c r="N188" s="159" t="n"/>
      <c r="O188" s="159" t="n"/>
      <c r="P188" s="187" t="n"/>
    </row>
    <row r="189">
      <c r="A189" s="187" t="n"/>
      <c r="B189" s="187" t="n"/>
      <c r="C189" s="134" t="n"/>
      <c r="D189" s="135" t="n"/>
      <c r="E189" s="161" t="n"/>
      <c r="F189" s="161" t="n"/>
      <c r="G189" s="134" t="n"/>
      <c r="H189" s="295" t="n"/>
      <c r="I189" s="295" t="n"/>
      <c r="J189" s="295" t="n"/>
      <c r="K189" s="135" t="n"/>
      <c r="L189" s="134" t="n"/>
      <c r="M189" s="161" t="n"/>
      <c r="N189" s="135" t="n"/>
      <c r="O189" s="135" t="n"/>
      <c r="P189" s="161" t="n"/>
    </row>
    <row r="190">
      <c r="A190" s="187" t="n"/>
      <c r="B190" s="187" t="n"/>
      <c r="C190" s="134" t="n"/>
      <c r="D190" s="135" t="n"/>
      <c r="E190" s="161" t="n"/>
      <c r="F190" s="161" t="n"/>
      <c r="G190" s="134" t="n"/>
      <c r="H190" s="295" t="n"/>
      <c r="I190" s="295" t="n"/>
      <c r="J190" s="295" t="n"/>
      <c r="K190" s="135" t="n"/>
      <c r="L190" s="134" t="n"/>
      <c r="M190" s="161" t="n"/>
      <c r="N190" s="135" t="n"/>
      <c r="O190" s="135" t="n"/>
      <c r="P190" s="161" t="n"/>
    </row>
    <row r="191">
      <c r="A191" s="187" t="n"/>
      <c r="B191" s="187" t="n"/>
      <c r="C191" s="134" t="n"/>
      <c r="D191" s="135" t="n"/>
      <c r="E191" s="161" t="n"/>
      <c r="F191" s="161" t="n"/>
      <c r="G191" s="134" t="n"/>
      <c r="H191" s="295" t="n"/>
      <c r="I191" s="295" t="n"/>
      <c r="J191" s="295" t="n"/>
      <c r="K191" s="135" t="n"/>
      <c r="L191" s="134" t="n"/>
      <c r="M191" s="161" t="n"/>
      <c r="N191" s="135" t="n"/>
      <c r="O191" s="135" t="n"/>
      <c r="P191" s="161" t="n"/>
    </row>
    <row r="192">
      <c r="A192" s="187" t="n"/>
      <c r="B192" s="187" t="n"/>
      <c r="C192" s="134" t="n"/>
      <c r="D192" s="135" t="n"/>
      <c r="E192" s="161" t="n"/>
      <c r="F192" s="161" t="n"/>
      <c r="G192" s="134" t="n"/>
      <c r="H192" s="295" t="n"/>
      <c r="I192" s="295" t="n"/>
      <c r="J192" s="295" t="n"/>
      <c r="K192" s="135" t="n"/>
      <c r="L192" s="134" t="n"/>
      <c r="M192" s="161" t="n"/>
      <c r="N192" s="135" t="n"/>
      <c r="O192" s="135" t="n"/>
      <c r="P192" s="161" t="n"/>
    </row>
    <row r="193">
      <c r="A193" s="194" t="n"/>
      <c r="B193" s="187" t="n"/>
      <c r="C193" s="180" t="n"/>
      <c r="D193" s="181" t="n"/>
      <c r="E193" s="194" t="n"/>
      <c r="F193" s="194" t="n"/>
      <c r="G193" s="180" t="n"/>
      <c r="H193" s="212" t="n"/>
      <c r="I193" s="212" t="n"/>
      <c r="J193" s="212" t="n"/>
      <c r="K193" s="181" t="n"/>
      <c r="L193" s="180" t="n"/>
      <c r="M193" s="194" t="n"/>
      <c r="N193" s="181" t="n"/>
      <c r="O193" s="181" t="n"/>
      <c r="P193" s="194" t="n"/>
    </row>
    <row r="194">
      <c r="A194" s="187" t="n"/>
      <c r="B194" s="187" t="n"/>
      <c r="C194" s="158" t="n"/>
      <c r="D194" s="159" t="n"/>
      <c r="E194" s="187" t="n"/>
      <c r="F194" s="187" t="n"/>
      <c r="G194" s="158" t="n"/>
      <c r="H194" s="210" t="n"/>
      <c r="I194" s="210" t="n"/>
      <c r="J194" s="210" t="n"/>
      <c r="K194" s="159" t="n"/>
      <c r="L194" s="158" t="n"/>
      <c r="M194" s="187" t="n"/>
      <c r="N194" s="159" t="n"/>
      <c r="O194" s="159" t="n"/>
      <c r="P194" s="187" t="n"/>
    </row>
    <row r="195">
      <c r="A195" s="187" t="n"/>
      <c r="B195" s="187" t="n"/>
      <c r="C195" s="134" t="n"/>
      <c r="D195" s="135" t="n"/>
      <c r="E195" s="161" t="n"/>
      <c r="F195" s="161" t="n"/>
      <c r="G195" s="134" t="n"/>
      <c r="H195" s="295" t="n"/>
      <c r="I195" s="295" t="n"/>
      <c r="J195" s="295" t="n"/>
      <c r="K195" s="135" t="n"/>
      <c r="L195" s="134" t="n"/>
      <c r="M195" s="161" t="n"/>
      <c r="N195" s="135" t="n"/>
      <c r="O195" s="135" t="n"/>
      <c r="P195" s="161" t="n"/>
    </row>
    <row r="196">
      <c r="A196" s="187" t="n"/>
      <c r="B196" s="187" t="n"/>
      <c r="C196" s="158" t="n"/>
      <c r="D196" s="159" t="n"/>
      <c r="E196" s="187" t="n"/>
      <c r="F196" s="187" t="n"/>
      <c r="G196" s="158" t="n"/>
      <c r="H196" s="210" t="n"/>
      <c r="I196" s="210" t="n"/>
      <c r="J196" s="210" t="n"/>
      <c r="K196" s="159" t="n"/>
      <c r="L196" s="158" t="n"/>
      <c r="M196" s="187" t="n"/>
      <c r="N196" s="159" t="n"/>
      <c r="O196" s="159" t="n"/>
      <c r="P196" s="187" t="n"/>
    </row>
    <row r="197">
      <c r="A197" s="187" t="n"/>
      <c r="B197" s="187" t="n"/>
      <c r="C197" s="135" t="n"/>
      <c r="D197" s="135" t="n"/>
      <c r="E197" s="161" t="n"/>
      <c r="F197" s="161" t="n"/>
      <c r="G197" s="134" t="n"/>
      <c r="H197" s="295" t="n"/>
      <c r="I197" s="295" t="n"/>
      <c r="J197" s="295" t="n"/>
      <c r="K197" s="135" t="n"/>
      <c r="L197" s="134" t="n"/>
      <c r="M197" s="161" t="n"/>
      <c r="N197" s="135" t="n"/>
      <c r="O197" s="135" t="n"/>
      <c r="P197" s="161" t="n"/>
    </row>
    <row r="198">
      <c r="A198" s="187" t="n"/>
      <c r="B198" s="187" t="n"/>
      <c r="C198" s="158" t="n"/>
      <c r="D198" s="159" t="n"/>
      <c r="E198" s="187" t="n"/>
      <c r="F198" s="187" t="n"/>
      <c r="G198" s="158" t="n"/>
      <c r="H198" s="210" t="n"/>
      <c r="I198" s="210" t="n"/>
      <c r="J198" s="210" t="n"/>
      <c r="K198" s="159" t="n"/>
      <c r="L198" s="158" t="n"/>
      <c r="M198" s="187" t="n"/>
      <c r="N198" s="159" t="n"/>
      <c r="O198" s="159" t="n"/>
      <c r="P198" s="187" t="n"/>
    </row>
    <row r="199">
      <c r="A199" s="187" t="n"/>
      <c r="B199" s="187" t="n"/>
      <c r="C199" s="158" t="n"/>
      <c r="D199" s="159" t="n"/>
      <c r="E199" s="187" t="n"/>
      <c r="F199" s="187" t="n"/>
      <c r="G199" s="158" t="n"/>
      <c r="H199" s="210" t="n"/>
      <c r="I199" s="210" t="n"/>
      <c r="J199" s="210" t="n"/>
      <c r="K199" s="159" t="n"/>
      <c r="L199" s="158" t="n"/>
      <c r="M199" s="187" t="n"/>
      <c r="N199" s="159" t="n"/>
      <c r="O199" s="159" t="n"/>
      <c r="P199" s="187" t="n"/>
    </row>
    <row r="200">
      <c r="A200" s="187" t="n"/>
      <c r="B200" s="187" t="n"/>
      <c r="C200" s="158" t="n"/>
      <c r="D200" s="159" t="n"/>
      <c r="E200" s="187" t="n"/>
      <c r="F200" s="187" t="n"/>
      <c r="G200" s="158" t="n"/>
      <c r="H200" s="210" t="n"/>
      <c r="I200" s="210" t="n"/>
      <c r="J200" s="210" t="n"/>
      <c r="K200" s="159" t="n"/>
      <c r="L200" s="158" t="n"/>
      <c r="M200" s="187" t="n"/>
      <c r="N200" s="159" t="n"/>
      <c r="O200" s="159" t="n"/>
      <c r="P200" s="187" t="n"/>
    </row>
    <row r="201">
      <c r="A201" s="177" t="n"/>
      <c r="B201" s="187" t="n"/>
      <c r="C201" s="180" t="n"/>
      <c r="D201" s="181" t="n"/>
      <c r="E201" s="194" t="n"/>
      <c r="F201" s="194" t="n"/>
      <c r="G201" s="180" t="n"/>
      <c r="H201" s="212" t="n"/>
      <c r="I201" s="212" t="n"/>
      <c r="J201" s="212" t="n"/>
      <c r="K201" s="181" t="n"/>
      <c r="L201" s="180" t="n"/>
      <c r="M201" s="194" t="n"/>
      <c r="N201" s="181" t="n"/>
      <c r="O201" s="181" t="n"/>
      <c r="P201" s="194" t="n"/>
    </row>
    <row r="202">
      <c r="A202" s="187" t="n"/>
      <c r="B202" s="187" t="n"/>
      <c r="C202" s="158" t="n"/>
      <c r="D202" s="159" t="n"/>
      <c r="E202" s="187" t="n"/>
      <c r="F202" s="187" t="n"/>
      <c r="G202" s="158" t="n"/>
      <c r="H202" s="210" t="n"/>
      <c r="I202" s="210" t="n"/>
      <c r="J202" s="210" t="n"/>
      <c r="K202" s="159" t="n"/>
      <c r="L202" s="158" t="n"/>
      <c r="M202" s="187" t="n"/>
      <c r="N202" s="159" t="n"/>
      <c r="O202" s="159" t="n"/>
      <c r="P202" s="187" t="n"/>
    </row>
  </sheetData>
  <mergeCells count="3">
    <mergeCell ref="E1:I1"/>
    <mergeCell ref="A1:C2"/>
    <mergeCell ref="N1:O1"/>
  </mergeCells>
  <pageMargins left="0.3149606299212598" right="0.1181102362204725" top="0.1968503937007874" bottom="0.5511811023622047" header="0.03937007874015748" footer="0.03937007874015748"/>
  <pageSetup orientation="portrait" paperSize="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9"/>
  <sheetViews>
    <sheetView workbookViewId="0">
      <selection activeCell="L25" sqref="L25"/>
    </sheetView>
  </sheetViews>
  <sheetFormatPr baseColWidth="8" defaultColWidth="10" defaultRowHeight="13.8"/>
  <cols>
    <col width="4.33203125" bestFit="1" customWidth="1" style="120" min="1" max="1"/>
    <col width="4" bestFit="1" customWidth="1" style="120" min="2" max="2"/>
    <col width="6.88671875" bestFit="1" customWidth="1" style="143" min="3" max="3"/>
    <col width="7.109375" customWidth="1" style="144" min="4" max="4"/>
    <col width="7.21875" customWidth="1" style="120" min="5" max="5"/>
    <col width="3.33203125" customWidth="1" style="120" min="6" max="6"/>
    <col width="5.21875" customWidth="1" style="143" min="7" max="7"/>
    <col width="3" customWidth="1" style="120" min="8" max="8"/>
    <col width="3.109375" customWidth="1" style="120" min="9" max="9"/>
    <col width="2.88671875" customWidth="1" style="120" min="10" max="10"/>
    <col width="7.21875" bestFit="1" customWidth="1" style="144" min="11" max="11"/>
    <col width="5.21875" bestFit="1" customWidth="1" style="143" min="12" max="12"/>
    <col width="7.21875" bestFit="1" customWidth="1" style="141" min="13" max="13"/>
    <col width="12.5546875" customWidth="1" style="148" min="14" max="14"/>
    <col width="4.44140625" bestFit="1" customWidth="1" style="148" min="15" max="15"/>
    <col width="5.109375" bestFit="1" customWidth="1" style="141" min="16" max="16"/>
    <col width="0.5546875" customWidth="1" style="120" min="17" max="23"/>
    <col width="10" customWidth="1" style="120" min="24" max="24"/>
    <col width="10" customWidth="1" style="120" min="25" max="16384"/>
  </cols>
  <sheetData>
    <row r="1" ht="14.4" customFormat="1" customHeight="1" s="141">
      <c r="A1" s="320" t="n"/>
      <c r="B1" s="305" t="n"/>
      <c r="C1" s="306" t="n"/>
      <c r="D1" s="296" t="n"/>
      <c r="E1" s="319" t="n"/>
      <c r="F1" s="302" t="n"/>
      <c r="G1" s="302" t="n"/>
      <c r="H1" s="302" t="n"/>
      <c r="I1" s="303" t="n"/>
      <c r="J1" s="295" t="n"/>
      <c r="K1" s="296" t="n"/>
      <c r="L1" s="176" t="n"/>
      <c r="M1" s="295" t="n"/>
      <c r="N1" s="319" t="n"/>
      <c r="O1" s="303" t="n"/>
      <c r="P1" s="295" t="n"/>
    </row>
    <row r="2" customFormat="1" s="141">
      <c r="A2" s="307" t="n"/>
      <c r="B2" s="308" t="n"/>
      <c r="C2" s="309" t="n"/>
      <c r="D2" s="296" t="n"/>
      <c r="E2" s="319" t="n"/>
      <c r="F2" s="295" t="n"/>
      <c r="G2" s="176" t="n"/>
      <c r="H2" s="295" t="n"/>
      <c r="I2" s="295" t="n"/>
      <c r="J2" s="295" t="n"/>
      <c r="K2" s="296" t="n"/>
      <c r="L2" s="176" t="n"/>
      <c r="M2" s="295" t="n"/>
      <c r="N2" s="296" t="n"/>
      <c r="O2" s="296" t="n"/>
      <c r="P2" s="295" t="n"/>
    </row>
    <row r="3">
      <c r="A3" s="161" t="n"/>
      <c r="B3" s="161" t="n"/>
      <c r="C3" s="134" t="n"/>
      <c r="D3" s="135" t="n"/>
      <c r="E3" s="161" t="n"/>
      <c r="F3" s="161" t="n"/>
      <c r="G3" s="134" t="n"/>
      <c r="H3" s="161" t="n"/>
      <c r="I3" s="161" t="n"/>
      <c r="J3" s="161" t="n"/>
      <c r="K3" s="135" t="n"/>
      <c r="L3" s="134" t="n"/>
      <c r="M3" s="161" t="n"/>
      <c r="N3" s="135" t="n"/>
      <c r="O3" s="135" t="n"/>
      <c r="P3" s="161" t="n"/>
    </row>
    <row r="4">
      <c r="A4" s="194" t="n"/>
      <c r="B4" s="194" t="n"/>
      <c r="C4" s="180" t="n"/>
      <c r="D4" s="181" t="n"/>
      <c r="E4" s="194" t="n"/>
      <c r="F4" s="194" t="n"/>
      <c r="G4" s="180" t="n"/>
      <c r="H4" s="194" t="n"/>
      <c r="I4" s="194" t="n"/>
      <c r="J4" s="194" t="n"/>
      <c r="K4" s="181" t="n"/>
      <c r="L4" s="180" t="n"/>
      <c r="M4" s="194" t="n"/>
      <c r="N4" s="181" t="n"/>
      <c r="O4" s="181" t="n"/>
      <c r="P4" s="194" t="n"/>
    </row>
    <row r="5">
      <c r="A5" s="187" t="n"/>
      <c r="B5" s="187" t="n"/>
      <c r="C5" s="158" t="n"/>
      <c r="D5" s="159" t="n"/>
      <c r="E5" s="187" t="n"/>
      <c r="F5" s="187" t="n"/>
      <c r="G5" s="158" t="n"/>
      <c r="H5" s="187" t="n"/>
      <c r="I5" s="187" t="n"/>
      <c r="J5" s="187" t="n"/>
      <c r="K5" s="159" t="n"/>
      <c r="L5" s="158" t="n"/>
      <c r="M5" s="187" t="n"/>
      <c r="N5" s="159" t="n"/>
      <c r="O5" s="159" t="n"/>
      <c r="P5" s="187" t="n"/>
    </row>
    <row r="6">
      <c r="A6" s="161" t="n"/>
      <c r="B6" s="187" t="n"/>
      <c r="C6" s="134" t="n"/>
      <c r="D6" s="159" t="n"/>
      <c r="E6" s="161" t="n"/>
      <c r="F6" s="161" t="n"/>
      <c r="G6" s="134" t="n"/>
      <c r="H6" s="161" t="n"/>
      <c r="I6" s="161" t="n"/>
      <c r="J6" s="161" t="n"/>
      <c r="K6" s="135" t="n"/>
      <c r="L6" s="134" t="n"/>
      <c r="M6" s="161" t="n"/>
      <c r="N6" s="135" t="n"/>
      <c r="O6" s="135" t="n"/>
      <c r="P6" s="161" t="n"/>
    </row>
    <row r="7">
      <c r="A7" s="194" t="n"/>
      <c r="B7" s="194" t="n"/>
      <c r="C7" s="180" t="n"/>
      <c r="D7" s="181" t="n"/>
      <c r="E7" s="194" t="n"/>
      <c r="F7" s="194" t="n"/>
      <c r="G7" s="180" t="n"/>
      <c r="H7" s="194" t="n"/>
      <c r="I7" s="194" t="n"/>
      <c r="J7" s="194" t="n"/>
      <c r="K7" s="181" t="n"/>
      <c r="L7" s="180" t="n"/>
      <c r="M7" s="194" t="n"/>
      <c r="N7" s="181" t="n"/>
      <c r="O7" s="181" t="n"/>
      <c r="P7" s="194" t="n"/>
    </row>
    <row r="8">
      <c r="A8" s="187" t="n"/>
      <c r="B8" s="187" t="n"/>
      <c r="C8" s="158" t="n"/>
      <c r="D8" s="159" t="n"/>
      <c r="E8" s="187" t="n"/>
      <c r="F8" s="187" t="n"/>
      <c r="G8" s="158" t="n"/>
      <c r="H8" s="187" t="n"/>
      <c r="I8" s="187" t="n"/>
      <c r="J8" s="187" t="n"/>
      <c r="K8" s="159" t="n"/>
      <c r="L8" s="158" t="n"/>
      <c r="M8" s="187" t="n"/>
      <c r="N8" s="159" t="n"/>
      <c r="O8" s="159" t="n"/>
      <c r="P8" s="187" t="n"/>
    </row>
    <row r="9">
      <c r="A9" s="194" t="n"/>
      <c r="B9" s="194" t="n"/>
      <c r="C9" s="180" t="n"/>
      <c r="D9" s="181" t="n"/>
      <c r="E9" s="194" t="n"/>
      <c r="F9" s="194" t="n"/>
      <c r="G9" s="180" t="n"/>
      <c r="H9" s="194" t="n"/>
      <c r="I9" s="194" t="n"/>
      <c r="J9" s="194" t="n"/>
      <c r="K9" s="181" t="n"/>
      <c r="L9" s="180" t="n"/>
      <c r="M9" s="194" t="n"/>
      <c r="N9" s="181" t="n"/>
      <c r="O9" s="181" t="n"/>
      <c r="P9" s="194" t="n"/>
    </row>
    <row r="10">
      <c r="A10" s="187" t="n"/>
      <c r="B10" s="187" t="n"/>
      <c r="C10" s="158" t="n"/>
      <c r="D10" s="159" t="n"/>
      <c r="E10" s="187" t="n"/>
      <c r="F10" s="187" t="n"/>
      <c r="G10" s="158" t="n"/>
      <c r="H10" s="187" t="n"/>
      <c r="I10" s="187" t="n"/>
      <c r="J10" s="187" t="n"/>
      <c r="K10" s="159" t="n"/>
      <c r="L10" s="158" t="n"/>
      <c r="M10" s="187" t="n"/>
      <c r="N10" s="159" t="n"/>
      <c r="O10" s="159" t="n"/>
      <c r="P10" s="187" t="n"/>
    </row>
    <row r="11">
      <c r="A11" s="187" t="n"/>
      <c r="B11" s="187" t="n"/>
      <c r="C11" s="158" t="n"/>
      <c r="D11" s="159" t="n"/>
      <c r="E11" s="187" t="n"/>
      <c r="F11" s="187" t="n"/>
      <c r="G11" s="158" t="n"/>
      <c r="H11" s="187" t="n"/>
      <c r="I11" s="187" t="n"/>
      <c r="J11" s="187" t="n"/>
      <c r="K11" s="159" t="n"/>
      <c r="L11" s="158" t="n"/>
      <c r="M11" s="187" t="n"/>
      <c r="N11" s="159" t="n"/>
      <c r="O11" s="159" t="n"/>
      <c r="P11" s="187" t="n"/>
    </row>
    <row r="12">
      <c r="A12" s="194" t="n"/>
      <c r="B12" s="194" t="n"/>
      <c r="C12" s="178" t="n"/>
      <c r="D12" s="179" t="n"/>
      <c r="E12" s="177" t="n"/>
      <c r="F12" s="177" t="n"/>
      <c r="G12" s="178" t="n"/>
      <c r="H12" s="177" t="n"/>
      <c r="I12" s="177" t="n"/>
      <c r="J12" s="177" t="n"/>
      <c r="K12" s="179" t="n"/>
      <c r="L12" s="178" t="n"/>
      <c r="M12" s="177" t="n"/>
      <c r="N12" s="179" t="n"/>
      <c r="O12" s="179" t="n"/>
      <c r="P12" s="177" t="n"/>
    </row>
    <row r="13">
      <c r="A13" s="187" t="n"/>
      <c r="B13" s="187" t="n"/>
      <c r="C13" s="134" t="n"/>
      <c r="D13" s="135" t="n"/>
      <c r="E13" s="161" t="n"/>
      <c r="F13" s="161" t="n"/>
      <c r="G13" s="134" t="n"/>
      <c r="H13" s="161" t="n"/>
      <c r="I13" s="161" t="n"/>
      <c r="J13" s="161" t="n"/>
      <c r="K13" s="135" t="n"/>
      <c r="L13" s="134" t="n"/>
      <c r="M13" s="161" t="n"/>
      <c r="N13" s="135" t="n"/>
      <c r="O13" s="135" t="n"/>
      <c r="P13" s="161" t="n"/>
    </row>
    <row r="14">
      <c r="A14" s="187" t="n"/>
      <c r="B14" s="187" t="n"/>
      <c r="C14" s="158" t="n"/>
      <c r="D14" s="159" t="n"/>
      <c r="E14" s="187" t="n"/>
      <c r="F14" s="187" t="n"/>
      <c r="G14" s="158" t="n"/>
      <c r="H14" s="187" t="n"/>
      <c r="I14" s="187" t="n"/>
      <c r="J14" s="187" t="n"/>
      <c r="K14" s="159" t="n"/>
      <c r="L14" s="158" t="n"/>
      <c r="M14" s="187" t="n"/>
      <c r="N14" s="159" t="n"/>
      <c r="O14" s="159" t="n"/>
      <c r="P14" s="187" t="n"/>
    </row>
    <row r="15">
      <c r="A15" s="194" t="n"/>
      <c r="B15" s="194" t="n"/>
      <c r="C15" s="180" t="n"/>
      <c r="D15" s="181" t="n"/>
      <c r="E15" s="194" t="n"/>
      <c r="F15" s="194" t="n"/>
      <c r="G15" s="180" t="n"/>
      <c r="H15" s="194" t="n"/>
      <c r="I15" s="194" t="n"/>
      <c r="J15" s="194" t="n"/>
      <c r="K15" s="181" t="n"/>
      <c r="L15" s="180" t="n"/>
      <c r="M15" s="194" t="n"/>
      <c r="N15" s="181" t="n"/>
      <c r="O15" s="181" t="n"/>
      <c r="P15" s="194" t="n"/>
    </row>
    <row r="16">
      <c r="A16" s="187" t="n"/>
      <c r="B16" s="187" t="n"/>
      <c r="C16" s="158" t="n"/>
      <c r="D16" s="159" t="n"/>
      <c r="E16" s="187" t="n"/>
      <c r="F16" s="187" t="n"/>
      <c r="G16" s="158" t="n"/>
      <c r="H16" s="187" t="n"/>
      <c r="I16" s="187" t="n"/>
      <c r="J16" s="187" t="n"/>
      <c r="K16" s="159" t="n"/>
      <c r="L16" s="158" t="n"/>
      <c r="M16" s="187" t="n"/>
      <c r="N16" s="159" t="n"/>
      <c r="O16" s="159" t="n"/>
      <c r="P16" s="187" t="n"/>
    </row>
    <row r="17">
      <c r="A17" s="161" t="n"/>
      <c r="B17" s="187" t="n"/>
      <c r="C17" s="134" t="n"/>
      <c r="D17" s="135" t="n"/>
      <c r="E17" s="161" t="n"/>
      <c r="F17" s="161" t="n"/>
      <c r="G17" s="134" t="n"/>
      <c r="H17" s="161" t="n"/>
      <c r="I17" s="161" t="n"/>
      <c r="J17" s="161" t="n"/>
      <c r="K17" s="135" t="n"/>
      <c r="L17" s="134" t="n"/>
      <c r="M17" s="161" t="n"/>
      <c r="N17" s="135" t="n"/>
      <c r="O17" s="135" t="n"/>
      <c r="P17" s="161" t="n"/>
    </row>
    <row r="18">
      <c r="A18" s="187" t="n"/>
      <c r="B18" s="187" t="n"/>
      <c r="C18" s="134" t="n"/>
      <c r="D18" s="135" t="n"/>
      <c r="E18" s="161" t="n"/>
      <c r="F18" s="161" t="n"/>
      <c r="G18" s="134" t="n"/>
      <c r="H18" s="161" t="n"/>
      <c r="I18" s="161" t="n"/>
      <c r="J18" s="161" t="n"/>
      <c r="K18" s="135" t="n"/>
      <c r="L18" s="134" t="n"/>
      <c r="M18" s="161" t="n"/>
      <c r="N18" s="135" t="n"/>
      <c r="O18" s="135" t="n"/>
      <c r="P18" s="161" t="n"/>
    </row>
    <row r="19">
      <c r="A19" s="187" t="n"/>
      <c r="B19" s="187" t="n"/>
      <c r="C19" s="158" t="n"/>
      <c r="D19" s="159" t="n"/>
      <c r="E19" s="187" t="n"/>
      <c r="F19" s="187" t="n"/>
      <c r="G19" s="158" t="n"/>
      <c r="H19" s="187" t="n"/>
      <c r="I19" s="187" t="n"/>
      <c r="J19" s="187" t="n"/>
      <c r="K19" s="159" t="n"/>
      <c r="L19" s="158" t="n"/>
      <c r="M19" s="187" t="n"/>
      <c r="N19" s="159" t="n"/>
      <c r="O19" s="159" t="n"/>
      <c r="P19" s="187" t="n"/>
    </row>
    <row r="20">
      <c r="A20" s="187" t="n"/>
      <c r="B20" s="187" t="n"/>
      <c r="C20" s="134" t="n"/>
      <c r="D20" s="135" t="n"/>
      <c r="E20" s="161" t="n"/>
      <c r="F20" s="161" t="n"/>
      <c r="G20" s="134" t="n"/>
      <c r="H20" s="161" t="n"/>
      <c r="I20" s="161" t="n"/>
      <c r="J20" s="161" t="n"/>
      <c r="K20" s="135" t="n"/>
      <c r="L20" s="134" t="n"/>
      <c r="M20" s="161" t="n"/>
      <c r="N20" s="135" t="n"/>
      <c r="O20" s="135" t="n"/>
      <c r="P20" s="161" t="n"/>
    </row>
    <row r="21">
      <c r="A21" s="194" t="n"/>
      <c r="B21" s="187" t="n"/>
      <c r="C21" s="180" t="n"/>
      <c r="D21" s="181" t="n"/>
      <c r="E21" s="194" t="n"/>
      <c r="F21" s="194" t="n"/>
      <c r="G21" s="180" t="n"/>
      <c r="H21" s="194" t="n"/>
      <c r="I21" s="194" t="n"/>
      <c r="J21" s="194" t="n"/>
      <c r="K21" s="181" t="n"/>
      <c r="L21" s="180" t="n"/>
      <c r="M21" s="194" t="n"/>
      <c r="N21" s="181" t="n"/>
      <c r="O21" s="181" t="n"/>
      <c r="P21" s="194" t="n"/>
    </row>
    <row r="22">
      <c r="A22" s="161" t="n"/>
      <c r="B22" s="187" t="n"/>
      <c r="C22" s="134" t="n"/>
      <c r="D22" s="135" t="n"/>
      <c r="E22" s="161" t="n"/>
      <c r="F22" s="161" t="n"/>
      <c r="G22" s="134" t="n"/>
      <c r="H22" s="161" t="n"/>
      <c r="I22" s="161" t="n"/>
      <c r="J22" s="161" t="n"/>
      <c r="K22" s="135" t="n"/>
      <c r="L22" s="134" t="n"/>
      <c r="M22" s="161" t="n"/>
      <c r="N22" s="135" t="n"/>
      <c r="O22" s="135" t="n"/>
      <c r="P22" s="161" t="n"/>
    </row>
    <row r="23">
      <c r="A23" s="187" t="n"/>
      <c r="B23" s="187" t="n"/>
      <c r="C23" s="158" t="n"/>
      <c r="D23" s="159" t="n"/>
      <c r="E23" s="187" t="n"/>
      <c r="F23" s="187" t="n"/>
      <c r="G23" s="158" t="n"/>
      <c r="H23" s="187" t="n"/>
      <c r="I23" s="187" t="n"/>
      <c r="J23" s="187" t="n"/>
      <c r="K23" s="159" t="n"/>
      <c r="L23" s="158" t="n"/>
      <c r="M23" s="187" t="n"/>
      <c r="N23" s="159" t="n"/>
      <c r="O23" s="159" t="n"/>
      <c r="P23" s="187" t="n"/>
    </row>
    <row r="24">
      <c r="A24" s="187" t="n"/>
      <c r="B24" s="187" t="n"/>
      <c r="C24" s="134" t="n"/>
      <c r="D24" s="135" t="n"/>
      <c r="E24" s="161" t="n"/>
      <c r="F24" s="161" t="n"/>
      <c r="G24" s="134" t="n"/>
      <c r="H24" s="161" t="n"/>
      <c r="I24" s="161" t="n"/>
      <c r="J24" s="161" t="n"/>
      <c r="K24" s="135" t="n"/>
      <c r="L24" s="134" t="n"/>
      <c r="M24" s="161" t="n"/>
      <c r="N24" s="135" t="n"/>
      <c r="O24" s="135" t="n"/>
      <c r="P24" s="161" t="n"/>
    </row>
    <row r="25">
      <c r="A25" s="187" t="n"/>
      <c r="B25" s="187" t="n"/>
      <c r="C25" s="158" t="n"/>
      <c r="D25" s="159" t="n"/>
      <c r="E25" s="187" t="n"/>
      <c r="F25" s="187" t="n"/>
      <c r="G25" s="158" t="n"/>
      <c r="H25" s="187" t="n"/>
      <c r="I25" s="187" t="n"/>
      <c r="J25" s="187" t="n"/>
      <c r="K25" s="159" t="n"/>
      <c r="L25" s="158" t="n"/>
      <c r="M25" s="187" t="n"/>
      <c r="N25" s="159" t="n"/>
      <c r="O25" s="159" t="n"/>
      <c r="P25" s="187" t="n"/>
    </row>
    <row r="26">
      <c r="A26" s="187" t="n"/>
      <c r="B26" s="187" t="n"/>
      <c r="C26" s="158" t="n"/>
      <c r="D26" s="159" t="n"/>
      <c r="E26" s="187" t="n"/>
      <c r="F26" s="187" t="n"/>
      <c r="G26" s="158" t="n"/>
      <c r="H26" s="187" t="n"/>
      <c r="I26" s="187" t="n"/>
      <c r="J26" s="187" t="n"/>
      <c r="K26" s="159" t="n"/>
      <c r="L26" s="158" t="n"/>
      <c r="M26" s="187" t="n"/>
      <c r="N26" s="159" t="n"/>
      <c r="O26" s="159" t="n"/>
      <c r="P26" s="187" t="n"/>
    </row>
    <row r="27">
      <c r="A27" s="187" t="n"/>
      <c r="B27" s="187" t="n"/>
      <c r="C27" s="158" t="n"/>
      <c r="D27" s="159" t="n"/>
      <c r="E27" s="187" t="n"/>
      <c r="F27" s="187" t="n"/>
      <c r="G27" s="158" t="n"/>
      <c r="H27" s="187" t="n"/>
      <c r="I27" s="187" t="n"/>
      <c r="J27" s="187" t="n"/>
      <c r="K27" s="159" t="n"/>
      <c r="L27" s="158" t="n"/>
      <c r="M27" s="187" t="n"/>
      <c r="N27" s="159" t="n"/>
      <c r="O27" s="159" t="n"/>
      <c r="P27" s="187" t="n"/>
    </row>
    <row r="28">
      <c r="A28" s="187" t="n"/>
      <c r="B28" s="187" t="n"/>
      <c r="C28" s="134" t="n"/>
      <c r="D28" s="135" t="n"/>
      <c r="E28" s="161" t="n"/>
      <c r="F28" s="161" t="n"/>
      <c r="G28" s="134" t="n"/>
      <c r="H28" s="161" t="n"/>
      <c r="I28" s="161" t="n"/>
      <c r="J28" s="161" t="n"/>
      <c r="K28" s="135" t="n"/>
      <c r="L28" s="134" t="n"/>
      <c r="M28" s="161" t="n"/>
      <c r="N28" s="135" t="n"/>
      <c r="O28" s="135" t="n"/>
      <c r="P28" s="161" t="n"/>
    </row>
    <row r="29">
      <c r="A29" s="187" t="n"/>
      <c r="B29" s="187" t="n"/>
      <c r="C29" s="158" t="n"/>
      <c r="D29" s="159" t="n"/>
      <c r="E29" s="187" t="n"/>
      <c r="F29" s="187" t="n"/>
      <c r="G29" s="158" t="n"/>
      <c r="H29" s="187" t="n"/>
      <c r="I29" s="187" t="n"/>
      <c r="J29" s="187" t="n"/>
      <c r="K29" s="159" t="n"/>
      <c r="L29" s="158" t="n"/>
      <c r="M29" s="187" t="n"/>
      <c r="N29" s="159" t="n"/>
      <c r="O29" s="159" t="n"/>
      <c r="P29" s="187" t="n"/>
    </row>
    <row r="30">
      <c r="A30" s="187" t="n"/>
      <c r="B30" s="187" t="n"/>
      <c r="C30" s="158" t="n"/>
      <c r="D30" s="159" t="n"/>
      <c r="E30" s="187" t="n"/>
      <c r="F30" s="187" t="n"/>
      <c r="G30" s="158" t="n"/>
      <c r="H30" s="187" t="n"/>
      <c r="I30" s="187" t="n"/>
      <c r="J30" s="187" t="n"/>
      <c r="K30" s="159" t="n"/>
      <c r="L30" s="158" t="n"/>
      <c r="M30" s="187" t="n"/>
      <c r="N30" s="159" t="n"/>
      <c r="O30" s="159" t="n"/>
      <c r="P30" s="187" t="n"/>
    </row>
    <row r="31">
      <c r="A31" s="187" t="n"/>
      <c r="B31" s="187" t="n"/>
      <c r="C31" s="158" t="n"/>
      <c r="D31" s="159" t="n"/>
      <c r="E31" s="187" t="n"/>
      <c r="F31" s="187" t="n"/>
      <c r="G31" s="158" t="n"/>
      <c r="H31" s="187" t="n"/>
      <c r="I31" s="187" t="n"/>
      <c r="J31" s="187" t="n"/>
      <c r="K31" s="159" t="n"/>
      <c r="L31" s="158" t="n"/>
      <c r="M31" s="187" t="n"/>
      <c r="N31" s="159" t="n"/>
      <c r="O31" s="159" t="n"/>
      <c r="P31" s="187" t="n"/>
    </row>
    <row r="32">
      <c r="A32" s="194" t="n"/>
      <c r="B32" s="187" t="n"/>
      <c r="C32" s="180" t="n"/>
      <c r="D32" s="181" t="n"/>
      <c r="E32" s="194" t="n"/>
      <c r="F32" s="195" t="n"/>
      <c r="G32" s="180" t="n"/>
      <c r="H32" s="194" t="n"/>
      <c r="I32" s="194" t="n"/>
      <c r="J32" s="194" t="n"/>
      <c r="K32" s="181" t="n"/>
      <c r="L32" s="180" t="n"/>
      <c r="M32" s="194" t="n"/>
      <c r="N32" s="181" t="n"/>
      <c r="O32" s="181" t="n"/>
      <c r="P32" s="194" t="n"/>
    </row>
    <row r="33">
      <c r="A33" s="187" t="n"/>
      <c r="B33" s="187" t="n"/>
      <c r="C33" s="158" t="n"/>
      <c r="D33" s="159" t="n"/>
      <c r="E33" s="187" t="n"/>
      <c r="F33" s="187" t="n"/>
      <c r="G33" s="158" t="n"/>
      <c r="H33" s="187" t="n"/>
      <c r="I33" s="187" t="n"/>
      <c r="J33" s="187" t="n"/>
      <c r="K33" s="159" t="n"/>
      <c r="L33" s="158" t="n"/>
      <c r="M33" s="187" t="n"/>
      <c r="N33" s="159" t="n"/>
      <c r="O33" s="159" t="n"/>
      <c r="P33" s="187" t="n"/>
    </row>
    <row r="34">
      <c r="A34" s="187" t="n"/>
      <c r="B34" s="187" t="n"/>
      <c r="C34" s="158" t="n"/>
      <c r="D34" s="159" t="n"/>
      <c r="E34" s="187" t="n"/>
      <c r="F34" s="187" t="n"/>
      <c r="G34" s="158" t="n"/>
      <c r="H34" s="187" t="n"/>
      <c r="I34" s="187" t="n"/>
      <c r="J34" s="187" t="n"/>
      <c r="K34" s="159" t="n"/>
      <c r="L34" s="158" t="n"/>
      <c r="M34" s="187" t="n"/>
      <c r="N34" s="159" t="n"/>
      <c r="O34" s="159" t="n"/>
      <c r="P34" s="187" t="n"/>
    </row>
    <row r="35">
      <c r="A35" s="187" t="n"/>
      <c r="B35" s="187" t="n"/>
      <c r="C35" s="158" t="n"/>
      <c r="D35" s="159" t="n"/>
      <c r="E35" s="187" t="n"/>
      <c r="F35" s="187" t="n"/>
      <c r="G35" s="158" t="n"/>
      <c r="H35" s="187" t="n"/>
      <c r="I35" s="187" t="n"/>
      <c r="J35" s="187" t="n"/>
      <c r="K35" s="159" t="n"/>
      <c r="L35" s="158" t="n"/>
      <c r="M35" s="187" t="n"/>
      <c r="N35" s="159" t="n"/>
      <c r="O35" s="159" t="n"/>
      <c r="P35" s="187" t="n"/>
    </row>
    <row r="36">
      <c r="A36" s="187" t="n"/>
      <c r="B36" s="187" t="n"/>
      <c r="C36" s="134" t="n"/>
      <c r="D36" s="135" t="n"/>
      <c r="E36" s="161" t="n"/>
      <c r="F36" s="161" t="n"/>
      <c r="G36" s="134" t="n"/>
      <c r="H36" s="161" t="n"/>
      <c r="I36" s="161" t="n"/>
      <c r="J36" s="161" t="n"/>
      <c r="K36" s="135" t="n"/>
      <c r="L36" s="134" t="n"/>
      <c r="M36" s="161" t="n"/>
      <c r="N36" s="135" t="n"/>
      <c r="O36" s="135" t="n"/>
      <c r="P36" s="161" t="n"/>
    </row>
    <row r="37">
      <c r="A37" s="187" t="n"/>
      <c r="B37" s="187" t="n"/>
      <c r="C37" s="134" t="n"/>
      <c r="D37" s="135" t="n"/>
      <c r="E37" s="161" t="n"/>
      <c r="F37" s="161" t="n"/>
      <c r="G37" s="134" t="n"/>
      <c r="H37" s="161" t="n"/>
      <c r="I37" s="161" t="n"/>
      <c r="J37" s="161" t="n"/>
      <c r="K37" s="135" t="n"/>
      <c r="L37" s="134" t="n"/>
      <c r="M37" s="161" t="n"/>
      <c r="N37" s="135" t="n"/>
      <c r="O37" s="135" t="n"/>
      <c r="P37" s="161" t="n"/>
    </row>
    <row r="38">
      <c r="A38" s="161" t="n"/>
      <c r="B38" s="187" t="n"/>
      <c r="C38" s="134" t="n"/>
      <c r="D38" s="135" t="n"/>
      <c r="E38" s="161" t="n"/>
      <c r="F38" s="161" t="n"/>
      <c r="G38" s="134" t="n"/>
      <c r="H38" s="161" t="n"/>
      <c r="I38" s="161" t="n"/>
      <c r="J38" s="161" t="n"/>
      <c r="K38" s="135" t="n"/>
      <c r="L38" s="134" t="n"/>
      <c r="M38" s="161" t="n"/>
      <c r="N38" s="135" t="n"/>
      <c r="O38" s="135" t="n"/>
      <c r="P38" s="161" t="n"/>
    </row>
    <row r="39">
      <c r="A39" s="187" t="n"/>
      <c r="B39" s="187" t="n"/>
      <c r="C39" s="158" t="n"/>
      <c r="D39" s="159" t="n"/>
      <c r="E39" s="187" t="n"/>
      <c r="F39" s="187" t="n"/>
      <c r="G39" s="158" t="n"/>
      <c r="H39" s="187" t="n"/>
      <c r="I39" s="187" t="n"/>
      <c r="J39" s="187" t="n"/>
      <c r="K39" s="159" t="n"/>
      <c r="L39" s="158" t="n"/>
      <c r="M39" s="187" t="n"/>
      <c r="N39" s="159" t="n"/>
      <c r="O39" s="159" t="n"/>
      <c r="P39" s="187" t="n"/>
    </row>
    <row r="40">
      <c r="A40" s="187" t="n"/>
      <c r="B40" s="187" t="n"/>
      <c r="C40" s="158" t="n"/>
      <c r="D40" s="159" t="n"/>
      <c r="E40" s="187" t="n"/>
      <c r="F40" s="187" t="n"/>
      <c r="G40" s="158" t="n"/>
      <c r="H40" s="187" t="n"/>
      <c r="I40" s="187" t="n"/>
      <c r="J40" s="187" t="n"/>
      <c r="K40" s="159" t="n"/>
      <c r="L40" s="158" t="n"/>
      <c r="M40" s="187" t="n"/>
      <c r="N40" s="159" t="n"/>
      <c r="O40" s="159" t="n"/>
      <c r="P40" s="187" t="n"/>
    </row>
    <row r="41">
      <c r="A41" s="187" t="n"/>
      <c r="B41" s="187" t="n"/>
      <c r="C41" s="158" t="n"/>
      <c r="D41" s="159" t="n"/>
      <c r="E41" s="187" t="n"/>
      <c r="F41" s="187" t="n"/>
      <c r="G41" s="158" t="n"/>
      <c r="H41" s="187" t="n"/>
      <c r="I41" s="187" t="n"/>
      <c r="J41" s="187" t="n"/>
      <c r="K41" s="159" t="n"/>
      <c r="L41" s="158" t="n"/>
      <c r="M41" s="187" t="n"/>
      <c r="N41" s="159" t="n"/>
      <c r="O41" s="159" t="n"/>
      <c r="P41" s="187" t="n"/>
    </row>
    <row r="42">
      <c r="A42" s="187" t="n"/>
      <c r="B42" s="187" t="n"/>
      <c r="C42" s="158" t="n"/>
      <c r="D42" s="159" t="n"/>
      <c r="E42" s="187" t="n"/>
      <c r="F42" s="190" t="n"/>
      <c r="G42" s="158" t="n"/>
      <c r="H42" s="187" t="n"/>
      <c r="I42" s="187" t="n"/>
      <c r="J42" s="187" t="n"/>
      <c r="K42" s="159" t="n"/>
      <c r="L42" s="158" t="n"/>
      <c r="M42" s="187" t="n"/>
      <c r="N42" s="159" t="n"/>
      <c r="O42" s="159" t="n"/>
      <c r="P42" s="187" t="n"/>
    </row>
    <row r="43">
      <c r="A43" s="187" t="n"/>
      <c r="B43" s="187" t="n"/>
      <c r="C43" s="134" t="n"/>
      <c r="D43" s="135" t="n"/>
      <c r="E43" s="161" t="n"/>
      <c r="F43" s="161" t="n"/>
      <c r="G43" s="134" t="n"/>
      <c r="H43" s="161" t="n"/>
      <c r="I43" s="161" t="n"/>
      <c r="J43" s="161" t="n"/>
      <c r="K43" s="135" t="n"/>
      <c r="L43" s="134" t="n"/>
      <c r="M43" s="161" t="n"/>
      <c r="N43" s="135" t="n"/>
      <c r="O43" s="135" t="n"/>
      <c r="P43" s="161" t="n"/>
    </row>
    <row r="44">
      <c r="A44" s="187" t="n"/>
      <c r="B44" s="187" t="n"/>
      <c r="C44" s="134" t="n"/>
      <c r="D44" s="135" t="n"/>
      <c r="E44" s="161" t="n"/>
      <c r="F44" s="161" t="n"/>
      <c r="G44" s="134" t="n"/>
      <c r="H44" s="161" t="n"/>
      <c r="I44" s="161" t="n"/>
      <c r="J44" s="161" t="n"/>
      <c r="K44" s="135" t="n"/>
      <c r="L44" s="134" t="n"/>
      <c r="M44" s="161" t="n"/>
      <c r="N44" s="135" t="n"/>
      <c r="O44" s="135" t="n"/>
      <c r="P44" s="161" t="n"/>
    </row>
    <row r="45">
      <c r="A45" s="187" t="n"/>
      <c r="B45" s="187" t="n"/>
      <c r="C45" s="158" t="n"/>
      <c r="D45" s="159" t="n"/>
      <c r="E45" s="187" t="n"/>
      <c r="F45" s="187" t="n"/>
      <c r="G45" s="158" t="n"/>
      <c r="H45" s="187" t="n"/>
      <c r="I45" s="187" t="n"/>
      <c r="J45" s="187" t="n"/>
      <c r="K45" s="159" t="n"/>
      <c r="L45" s="158" t="n"/>
      <c r="M45" s="187" t="n"/>
      <c r="N45" s="159" t="n"/>
      <c r="O45" s="159" t="n"/>
      <c r="P45" s="187" t="n"/>
    </row>
    <row r="46">
      <c r="A46" s="187" t="n"/>
      <c r="B46" s="187" t="n"/>
      <c r="C46" s="158" t="n"/>
      <c r="D46" s="159" t="n"/>
      <c r="E46" s="187" t="n"/>
      <c r="F46" s="187" t="n"/>
      <c r="G46" s="158" t="n"/>
      <c r="H46" s="187" t="n"/>
      <c r="I46" s="187" t="n"/>
      <c r="J46" s="187" t="n"/>
      <c r="K46" s="159" t="n"/>
      <c r="L46" s="158" t="n"/>
      <c r="M46" s="187" t="n"/>
      <c r="N46" s="159" t="n"/>
      <c r="O46" s="159" t="n"/>
      <c r="P46" s="187" t="n"/>
    </row>
    <row r="47">
      <c r="A47" s="187" t="n"/>
      <c r="B47" s="187" t="n"/>
      <c r="C47" s="158" t="n"/>
      <c r="D47" s="159" t="n"/>
      <c r="E47" s="187" t="n"/>
      <c r="F47" s="187" t="n"/>
      <c r="G47" s="158" t="n"/>
      <c r="H47" s="187" t="n"/>
      <c r="I47" s="187" t="n"/>
      <c r="J47" s="187" t="n"/>
      <c r="K47" s="159" t="n"/>
      <c r="L47" s="158" t="n"/>
      <c r="M47" s="187" t="n"/>
      <c r="N47" s="159" t="n"/>
      <c r="O47" s="159" t="n"/>
      <c r="P47" s="187" t="n"/>
    </row>
    <row r="48">
      <c r="A48" s="194" t="n"/>
      <c r="B48" s="187" t="n"/>
      <c r="C48" s="180" t="n"/>
      <c r="D48" s="181" t="n"/>
      <c r="E48" s="194" t="n"/>
      <c r="F48" s="194" t="n"/>
      <c r="G48" s="180" t="n"/>
      <c r="H48" s="194" t="n"/>
      <c r="I48" s="194" t="n"/>
      <c r="J48" s="194" t="n"/>
      <c r="K48" s="181" t="n"/>
      <c r="L48" s="180" t="n"/>
      <c r="M48" s="194" t="n"/>
      <c r="N48" s="181" t="n"/>
      <c r="O48" s="181" t="n"/>
      <c r="P48" s="194" t="n"/>
    </row>
    <row r="49">
      <c r="A49" s="187" t="n"/>
      <c r="B49" s="187" t="n"/>
      <c r="C49" s="158" t="n"/>
      <c r="D49" s="159" t="n"/>
      <c r="E49" s="187" t="n"/>
      <c r="F49" s="187" t="n"/>
      <c r="G49" s="158" t="n"/>
      <c r="H49" s="187" t="n"/>
      <c r="I49" s="187" t="n"/>
      <c r="J49" s="187" t="n"/>
      <c r="K49" s="159" t="n"/>
      <c r="L49" s="158" t="n"/>
      <c r="M49" s="187" t="n"/>
      <c r="N49" s="159" t="n"/>
      <c r="O49" s="159" t="n"/>
      <c r="P49" s="187" t="n"/>
    </row>
    <row r="50">
      <c r="A50" s="187" t="n"/>
      <c r="B50" s="187" t="n"/>
      <c r="C50" s="158" t="n"/>
      <c r="D50" s="159" t="n"/>
      <c r="E50" s="187" t="n"/>
      <c r="F50" s="187" t="n"/>
      <c r="G50" s="158" t="n"/>
      <c r="H50" s="187" t="n"/>
      <c r="I50" s="187" t="n"/>
      <c r="J50" s="187" t="n"/>
      <c r="K50" s="159" t="n"/>
      <c r="L50" s="158" t="n"/>
      <c r="M50" s="187" t="n"/>
      <c r="N50" s="159" t="n"/>
      <c r="O50" s="159" t="n"/>
      <c r="P50" s="187" t="n"/>
    </row>
    <row r="51">
      <c r="A51" s="187" t="n"/>
      <c r="B51" s="187" t="n"/>
      <c r="C51" s="158" t="n"/>
      <c r="D51" s="159" t="n"/>
      <c r="E51" s="187" t="n"/>
      <c r="F51" s="187" t="n"/>
      <c r="G51" s="158" t="n"/>
      <c r="H51" s="187" t="n"/>
      <c r="I51" s="187" t="n"/>
      <c r="J51" s="187" t="n"/>
      <c r="K51" s="159" t="n"/>
      <c r="L51" s="158" t="n"/>
      <c r="M51" s="187" t="n"/>
      <c r="N51" s="159" t="n"/>
      <c r="O51" s="159" t="n"/>
      <c r="P51" s="187" t="n"/>
    </row>
    <row r="52">
      <c r="A52" s="187" t="n"/>
      <c r="B52" s="187" t="n"/>
      <c r="C52" s="134" t="n"/>
      <c r="D52" s="135" t="n"/>
      <c r="E52" s="161" t="n"/>
      <c r="F52" s="161" t="n"/>
      <c r="G52" s="134" t="n"/>
      <c r="H52" s="161" t="n"/>
      <c r="I52" s="161" t="n"/>
      <c r="J52" s="161" t="n"/>
      <c r="K52" s="135" t="n"/>
      <c r="L52" s="134" t="n"/>
      <c r="M52" s="161" t="n"/>
      <c r="N52" s="135" t="n"/>
      <c r="O52" s="135" t="n"/>
      <c r="P52" s="161" t="n"/>
    </row>
    <row r="53">
      <c r="A53" s="194" t="n"/>
      <c r="B53" s="187" t="n"/>
      <c r="C53" s="180" t="n"/>
      <c r="D53" s="181" t="n"/>
      <c r="E53" s="194" t="n"/>
      <c r="F53" s="194" t="n"/>
      <c r="G53" s="180" t="n"/>
      <c r="H53" s="194" t="n"/>
      <c r="I53" s="194" t="n"/>
      <c r="J53" s="194" t="n"/>
      <c r="K53" s="181" t="n"/>
      <c r="L53" s="180" t="n"/>
      <c r="M53" s="194" t="n"/>
      <c r="N53" s="181" t="n"/>
      <c r="O53" s="181" t="n"/>
      <c r="P53" s="194" t="n"/>
    </row>
    <row r="54">
      <c r="A54" s="187" t="n"/>
      <c r="B54" s="187" t="n"/>
      <c r="C54" s="158" t="n"/>
      <c r="D54" s="159" t="n"/>
      <c r="E54" s="187" t="n"/>
      <c r="F54" s="187" t="n"/>
      <c r="G54" s="158" t="n"/>
      <c r="H54" s="187" t="n"/>
      <c r="I54" s="187" t="n"/>
      <c r="J54" s="187" t="n"/>
      <c r="K54" s="159" t="n"/>
      <c r="L54" s="158" t="n"/>
      <c r="M54" s="187" t="n"/>
      <c r="N54" s="159" t="n"/>
      <c r="O54" s="159" t="n"/>
      <c r="P54" s="187" t="n"/>
    </row>
    <row r="55">
      <c r="A55" s="161" t="n"/>
      <c r="B55" s="187" t="n"/>
      <c r="C55" s="134" t="n"/>
      <c r="D55" s="135" t="n"/>
      <c r="E55" s="161" t="n"/>
      <c r="F55" s="161" t="n"/>
      <c r="G55" s="134" t="n"/>
      <c r="H55" s="161" t="n"/>
      <c r="I55" s="161" t="n"/>
      <c r="J55" s="161" t="n"/>
      <c r="K55" s="135" t="n"/>
      <c r="L55" s="134" t="n"/>
      <c r="M55" s="161" t="n"/>
      <c r="N55" s="135" t="n"/>
      <c r="O55" s="135" t="n"/>
      <c r="P55" s="161" t="n"/>
    </row>
    <row r="56">
      <c r="A56" s="194" t="n"/>
      <c r="B56" s="187" t="n"/>
      <c r="C56" s="180" t="n"/>
      <c r="D56" s="179" t="n"/>
      <c r="E56" s="177" t="n"/>
      <c r="F56" s="177" t="n"/>
      <c r="G56" s="178" t="n"/>
      <c r="H56" s="177" t="n"/>
      <c r="I56" s="177" t="n"/>
      <c r="J56" s="177" t="n"/>
      <c r="K56" s="179" t="n"/>
      <c r="L56" s="178" t="n"/>
      <c r="M56" s="177" t="n"/>
      <c r="N56" s="179" t="n"/>
      <c r="O56" s="179" t="n"/>
      <c r="P56" s="177" t="n"/>
    </row>
    <row r="57">
      <c r="A57" s="187" t="n"/>
      <c r="B57" s="187" t="n"/>
      <c r="C57" s="158" t="n"/>
      <c r="D57" s="159" t="n"/>
      <c r="E57" s="187" t="n"/>
      <c r="F57" s="187" t="n"/>
      <c r="G57" s="158" t="n"/>
      <c r="H57" s="187" t="n"/>
      <c r="I57" s="187" t="n"/>
      <c r="J57" s="187" t="n"/>
      <c r="K57" s="159" t="n"/>
      <c r="L57" s="158" t="n"/>
      <c r="M57" s="187" t="n"/>
      <c r="N57" s="159" t="n"/>
      <c r="O57" s="159" t="n"/>
      <c r="P57" s="187" t="n"/>
    </row>
    <row r="58">
      <c r="A58" s="187" t="n"/>
      <c r="B58" s="187" t="n"/>
      <c r="C58" s="134" t="n"/>
      <c r="D58" s="135" t="n"/>
      <c r="E58" s="161" t="n"/>
      <c r="F58" s="161" t="n"/>
      <c r="G58" s="134" t="n"/>
      <c r="H58" s="161" t="n"/>
      <c r="I58" s="161" t="n"/>
      <c r="J58" s="161" t="n"/>
      <c r="K58" s="135" t="n"/>
      <c r="L58" s="134" t="n"/>
      <c r="M58" s="161" t="n"/>
      <c r="N58" s="135" t="n"/>
      <c r="O58" s="135" t="n"/>
      <c r="P58" s="161" t="n"/>
    </row>
    <row r="59" customFormat="1" s="143">
      <c r="A59" s="161" t="n"/>
      <c r="B59" s="187" t="n"/>
      <c r="C59" s="134" t="n"/>
      <c r="D59" s="135" t="n"/>
      <c r="E59" s="161" t="n"/>
      <c r="F59" s="161" t="n"/>
      <c r="G59" s="134" t="n"/>
      <c r="H59" s="161" t="n"/>
      <c r="I59" s="161" t="n"/>
      <c r="J59" s="161" t="n"/>
      <c r="K59" s="135" t="n"/>
      <c r="L59" s="134" t="n"/>
      <c r="M59" s="161" t="n"/>
      <c r="N59" s="135" t="n"/>
      <c r="O59" s="135" t="n"/>
      <c r="P59" s="161" t="n"/>
    </row>
    <row r="60">
      <c r="A60" s="194" t="n"/>
      <c r="B60" s="187" t="n"/>
      <c r="C60" s="179" t="n"/>
      <c r="D60" s="179" t="n"/>
      <c r="E60" s="177" t="n"/>
      <c r="F60" s="177" t="n"/>
      <c r="G60" s="178" t="n"/>
      <c r="H60" s="177" t="n"/>
      <c r="I60" s="177" t="n"/>
      <c r="J60" s="177" t="n"/>
      <c r="K60" s="179" t="n"/>
      <c r="L60" s="178" t="n"/>
      <c r="M60" s="177" t="n"/>
      <c r="N60" s="179" t="n"/>
      <c r="O60" s="179" t="n"/>
      <c r="P60" s="177" t="n"/>
    </row>
    <row r="61">
      <c r="A61" s="187" t="n"/>
      <c r="B61" s="187" t="n"/>
      <c r="C61" s="134" t="n"/>
      <c r="D61" s="135" t="n"/>
      <c r="E61" s="161" t="n"/>
      <c r="F61" s="161" t="n"/>
      <c r="G61" s="134" t="n"/>
      <c r="H61" s="161" t="n"/>
      <c r="I61" s="161" t="n"/>
      <c r="J61" s="161" t="n"/>
      <c r="K61" s="135" t="n"/>
      <c r="L61" s="134" t="n"/>
      <c r="M61" s="161" t="n"/>
      <c r="N61" s="135" t="n"/>
      <c r="O61" s="135" t="n"/>
      <c r="P61" s="161" t="n"/>
    </row>
    <row r="62">
      <c r="A62" s="177" t="n"/>
      <c r="B62" s="187" t="n"/>
      <c r="C62" s="178" t="n"/>
      <c r="D62" s="179" t="n"/>
      <c r="E62" s="177" t="n"/>
      <c r="F62" s="177" t="n"/>
      <c r="G62" s="178" t="n"/>
      <c r="H62" s="177" t="n"/>
      <c r="I62" s="177" t="n"/>
      <c r="J62" s="177" t="n"/>
      <c r="K62" s="179" t="n"/>
      <c r="L62" s="178" t="n"/>
      <c r="M62" s="177" t="n"/>
      <c r="N62" s="179" t="n"/>
      <c r="O62" s="179" t="n"/>
      <c r="P62" s="177" t="n"/>
    </row>
    <row r="63">
      <c r="A63" s="187" t="n"/>
      <c r="B63" s="187" t="n"/>
      <c r="C63" s="158" t="n"/>
      <c r="D63" s="159" t="n"/>
      <c r="E63" s="187" t="n"/>
      <c r="F63" s="187" t="n"/>
      <c r="G63" s="158" t="n"/>
      <c r="H63" s="187" t="n"/>
      <c r="I63" s="187" t="n"/>
      <c r="J63" s="187" t="n"/>
      <c r="K63" s="159" t="n"/>
      <c r="L63" s="158" t="n"/>
      <c r="M63" s="187" t="n"/>
      <c r="N63" s="159" t="n"/>
      <c r="O63" s="159" t="n"/>
      <c r="P63" s="187" t="n"/>
    </row>
    <row r="64">
      <c r="A64" s="187" t="n"/>
      <c r="B64" s="187" t="n"/>
      <c r="C64" s="182" t="n"/>
      <c r="D64" s="159" t="n"/>
      <c r="E64" s="187" t="n"/>
      <c r="F64" s="187" t="n"/>
      <c r="G64" s="158" t="n"/>
      <c r="H64" s="187" t="n"/>
      <c r="I64" s="187" t="n"/>
      <c r="J64" s="187" t="n"/>
      <c r="K64" s="159" t="n"/>
      <c r="L64" s="158" t="n"/>
      <c r="M64" s="187" t="n"/>
      <c r="N64" s="159" t="n"/>
      <c r="O64" s="159" t="n"/>
      <c r="P64" s="187" t="n"/>
    </row>
    <row r="65" customFormat="1" s="142">
      <c r="A65" s="187" t="n"/>
      <c r="B65" s="187" t="n"/>
      <c r="C65" s="158" t="n"/>
      <c r="D65" s="159" t="n"/>
      <c r="E65" s="187" t="n"/>
      <c r="F65" s="187" t="n"/>
      <c r="G65" s="158" t="n"/>
      <c r="H65" s="187" t="n"/>
      <c r="I65" s="187" t="n"/>
      <c r="J65" s="187" t="n"/>
      <c r="K65" s="159" t="n"/>
      <c r="L65" s="158" t="n"/>
      <c r="M65" s="187" t="n"/>
      <c r="N65" s="159" t="n"/>
      <c r="O65" s="159" t="n"/>
      <c r="P65" s="187" t="n"/>
    </row>
    <row r="66">
      <c r="A66" s="194" t="n"/>
      <c r="B66" s="187" t="n"/>
      <c r="C66" s="178" t="n"/>
      <c r="D66" s="179" t="n"/>
      <c r="E66" s="177" t="n"/>
      <c r="F66" s="177" t="n"/>
      <c r="G66" s="178" t="n"/>
      <c r="H66" s="177" t="n"/>
      <c r="I66" s="177" t="n"/>
      <c r="J66" s="177" t="n"/>
      <c r="K66" s="179" t="n"/>
      <c r="L66" s="178" t="n"/>
      <c r="M66" s="177" t="n"/>
      <c r="N66" s="179" t="n"/>
      <c r="O66" s="179" t="n"/>
      <c r="P66" s="177" t="n"/>
    </row>
    <row r="67">
      <c r="A67" s="187" t="n"/>
      <c r="B67" s="187" t="n"/>
      <c r="C67" s="134" t="n"/>
      <c r="D67" s="135" t="n"/>
      <c r="E67" s="161" t="n"/>
      <c r="F67" s="161" t="n"/>
      <c r="G67" s="134" t="n"/>
      <c r="H67" s="161" t="n"/>
      <c r="I67" s="161" t="n"/>
      <c r="J67" s="161" t="n"/>
      <c r="K67" s="135" t="n"/>
      <c r="L67" s="134" t="n"/>
      <c r="M67" s="161" t="n"/>
      <c r="N67" s="135" t="n"/>
      <c r="O67" s="135" t="n"/>
      <c r="P67" s="161" t="n"/>
    </row>
    <row r="68">
      <c r="A68" s="187" t="n"/>
      <c r="B68" s="187" t="n"/>
      <c r="C68" s="134" t="n"/>
      <c r="D68" s="135" t="n"/>
      <c r="E68" s="161" t="n"/>
      <c r="F68" s="161" t="n"/>
      <c r="G68" s="134" t="n"/>
      <c r="H68" s="161" t="n"/>
      <c r="I68" s="161" t="n"/>
      <c r="J68" s="161" t="n"/>
      <c r="K68" s="135" t="n"/>
      <c r="L68" s="134" t="n"/>
      <c r="M68" s="161" t="n"/>
      <c r="N68" s="135" t="n"/>
      <c r="O68" s="135" t="n"/>
      <c r="P68" s="161" t="n"/>
    </row>
    <row r="69">
      <c r="A69" s="161" t="n"/>
      <c r="B69" s="187" t="n"/>
      <c r="C69" s="134" t="n"/>
      <c r="D69" s="135" t="n"/>
      <c r="E69" s="161" t="n"/>
      <c r="F69" s="161" t="n"/>
      <c r="G69" s="134" t="n"/>
      <c r="H69" s="161" t="n"/>
      <c r="I69" s="161" t="n"/>
      <c r="J69" s="161" t="n"/>
      <c r="K69" s="135" t="n"/>
      <c r="L69" s="134" t="n"/>
      <c r="M69" s="161" t="n"/>
      <c r="N69" s="135" t="n"/>
      <c r="O69" s="135" t="n"/>
      <c r="P69" s="161" t="n"/>
    </row>
    <row r="70">
      <c r="A70" s="187" t="n"/>
      <c r="B70" s="187" t="n"/>
      <c r="C70" s="158" t="n"/>
      <c r="D70" s="159" t="n"/>
      <c r="E70" s="187" t="n"/>
      <c r="F70" s="187" t="n"/>
      <c r="G70" s="158" t="n"/>
      <c r="H70" s="187" t="n"/>
      <c r="I70" s="187" t="n"/>
      <c r="J70" s="187" t="n"/>
      <c r="K70" s="159" t="n"/>
      <c r="L70" s="158" t="n"/>
      <c r="M70" s="187" t="n"/>
      <c r="N70" s="159" t="n"/>
      <c r="O70" s="159" t="n"/>
      <c r="P70" s="187" t="n"/>
    </row>
    <row r="71">
      <c r="A71" s="187" t="n"/>
      <c r="B71" s="187" t="n"/>
      <c r="C71" s="158" t="n"/>
      <c r="D71" s="159" t="n"/>
      <c r="E71" s="161" t="n"/>
      <c r="F71" s="187" t="n"/>
      <c r="G71" s="158" t="n"/>
      <c r="H71" s="187" t="n"/>
      <c r="I71" s="187" t="n"/>
      <c r="J71" s="187" t="n"/>
      <c r="K71" s="159" t="n"/>
      <c r="L71" s="158" t="n"/>
      <c r="M71" s="187" t="n"/>
      <c r="N71" s="159" t="n"/>
      <c r="O71" s="159" t="n"/>
      <c r="P71" s="187" t="n"/>
    </row>
    <row r="72">
      <c r="A72" s="187" t="n"/>
      <c r="B72" s="187" t="n"/>
      <c r="C72" s="158" t="n"/>
      <c r="D72" s="159" t="n"/>
      <c r="E72" s="187" t="n"/>
      <c r="F72" s="187" t="n"/>
      <c r="G72" s="158" t="n"/>
      <c r="H72" s="187" t="n"/>
      <c r="I72" s="187" t="n"/>
      <c r="J72" s="187" t="n"/>
      <c r="K72" s="159" t="n"/>
      <c r="L72" s="158" t="n"/>
      <c r="M72" s="187" t="n"/>
      <c r="N72" s="159" t="n"/>
      <c r="O72" s="159" t="n"/>
      <c r="P72" s="187" t="n"/>
    </row>
    <row r="73">
      <c r="A73" s="187" t="n"/>
      <c r="B73" s="187" t="n"/>
      <c r="C73" s="158" t="n"/>
      <c r="D73" s="159" t="n"/>
      <c r="E73" s="187" t="n"/>
      <c r="F73" s="187" t="n"/>
      <c r="G73" s="158" t="n"/>
      <c r="H73" s="187" t="n"/>
      <c r="I73" s="187" t="n"/>
      <c r="J73" s="187" t="n"/>
      <c r="K73" s="159" t="n"/>
      <c r="L73" s="158" t="n"/>
      <c r="M73" s="187" t="n"/>
      <c r="N73" s="159" t="n"/>
      <c r="O73" s="159" t="n"/>
      <c r="P73" s="187" t="n"/>
    </row>
    <row r="74">
      <c r="A74" s="187" t="n"/>
      <c r="B74" s="187" t="n"/>
      <c r="C74" s="158" t="n"/>
      <c r="D74" s="135" t="n"/>
      <c r="E74" s="187" t="n"/>
      <c r="F74" s="187" t="n"/>
      <c r="G74" s="158" t="n"/>
      <c r="H74" s="187" t="n"/>
      <c r="I74" s="187" t="n"/>
      <c r="J74" s="187" t="n"/>
      <c r="K74" s="159" t="n"/>
      <c r="L74" s="158" t="n"/>
      <c r="M74" s="187" t="n"/>
      <c r="N74" s="159" t="n"/>
      <c r="O74" s="159" t="n"/>
      <c r="P74" s="187" t="n"/>
    </row>
    <row r="75">
      <c r="A75" s="161" t="n"/>
      <c r="B75" s="187" t="n"/>
      <c r="C75" s="134" t="n"/>
      <c r="D75" s="135" t="n"/>
      <c r="E75" s="161" t="n"/>
      <c r="F75" s="161" t="n"/>
      <c r="G75" s="134" t="n"/>
      <c r="H75" s="161" t="n"/>
      <c r="I75" s="161" t="n"/>
      <c r="J75" s="161" t="n"/>
      <c r="K75" s="135" t="n"/>
      <c r="L75" s="134" t="n"/>
      <c r="M75" s="161" t="n"/>
      <c r="N75" s="135" t="n"/>
      <c r="O75" s="135" t="n"/>
      <c r="P75" s="161" t="n"/>
    </row>
    <row r="76" customFormat="1" s="85">
      <c r="A76" s="161" t="n"/>
      <c r="B76" s="187" t="n"/>
      <c r="C76" s="134" t="n"/>
      <c r="D76" s="135" t="n"/>
      <c r="E76" s="161" t="n"/>
      <c r="F76" s="161" t="n"/>
      <c r="G76" s="134" t="n"/>
      <c r="H76" s="161" t="n"/>
      <c r="I76" s="161" t="n"/>
      <c r="J76" s="161" t="n"/>
      <c r="K76" s="135" t="n"/>
      <c r="L76" s="134" t="n"/>
      <c r="M76" s="161" t="n"/>
      <c r="N76" s="135" t="n"/>
      <c r="O76" s="135" t="n"/>
      <c r="P76" s="161" t="n"/>
    </row>
    <row r="77">
      <c r="A77" s="187" t="n"/>
      <c r="B77" s="187" t="n"/>
      <c r="C77" s="158" t="n"/>
      <c r="D77" s="159" t="n"/>
      <c r="E77" s="187" t="n"/>
      <c r="F77" s="187" t="n"/>
      <c r="G77" s="158" t="n"/>
      <c r="H77" s="187" t="n"/>
      <c r="I77" s="187" t="n"/>
      <c r="J77" s="187" t="n"/>
      <c r="K77" s="159" t="n"/>
      <c r="L77" s="158" t="n"/>
      <c r="M77" s="187" t="n"/>
      <c r="N77" s="159" t="n"/>
      <c r="O77" s="159" t="n"/>
      <c r="P77" s="187" t="n"/>
    </row>
    <row r="78" customFormat="1" s="143">
      <c r="A78" s="187" t="n"/>
      <c r="B78" s="187" t="n"/>
      <c r="C78" s="158" t="n"/>
      <c r="D78" s="159" t="n"/>
      <c r="E78" s="187" t="n"/>
      <c r="F78" s="187" t="n"/>
      <c r="G78" s="158" t="n"/>
      <c r="H78" s="187" t="n"/>
      <c r="I78" s="187" t="n"/>
      <c r="J78" s="187" t="n"/>
      <c r="K78" s="159" t="n"/>
      <c r="L78" s="158" t="n"/>
      <c r="M78" s="187" t="n"/>
      <c r="N78" s="159" t="n"/>
      <c r="O78" s="159" t="n"/>
      <c r="P78" s="187" t="n"/>
    </row>
    <row r="79">
      <c r="A79" s="161" t="n"/>
      <c r="B79" s="187" t="n"/>
      <c r="C79" s="134" t="n"/>
      <c r="D79" s="135" t="n"/>
      <c r="E79" s="161" t="n"/>
      <c r="F79" s="161" t="n"/>
      <c r="G79" s="134" t="n"/>
      <c r="H79" s="161" t="n"/>
      <c r="I79" s="161" t="n"/>
      <c r="J79" s="161" t="n"/>
      <c r="K79" s="135" t="n"/>
      <c r="L79" s="134" t="n"/>
      <c r="M79" s="161" t="n"/>
      <c r="N79" s="135" t="n"/>
      <c r="O79" s="135" t="n"/>
      <c r="P79" s="161" t="n"/>
    </row>
    <row r="80">
      <c r="A80" s="187" t="n"/>
      <c r="B80" s="187" t="n"/>
      <c r="C80" s="158" t="n"/>
      <c r="D80" s="135" t="n"/>
      <c r="E80" s="187" t="n"/>
      <c r="F80" s="187" t="n"/>
      <c r="G80" s="158" t="n"/>
      <c r="H80" s="187" t="n"/>
      <c r="I80" s="187" t="n"/>
      <c r="J80" s="187" t="n"/>
      <c r="K80" s="159" t="n"/>
      <c r="L80" s="158" t="n"/>
      <c r="M80" s="187" t="n"/>
      <c r="N80" s="159" t="n"/>
      <c r="O80" s="159" t="n"/>
      <c r="P80" s="187" t="n"/>
    </row>
    <row r="81">
      <c r="A81" s="187" t="n"/>
      <c r="B81" s="187" t="n"/>
      <c r="C81" s="134" t="n"/>
      <c r="D81" s="135" t="n"/>
      <c r="E81" s="161" t="n"/>
      <c r="F81" s="161" t="n"/>
      <c r="G81" s="134" t="n"/>
      <c r="H81" s="161" t="n"/>
      <c r="I81" s="161" t="n"/>
      <c r="J81" s="161" t="n"/>
      <c r="K81" s="135" t="n"/>
      <c r="L81" s="134" t="n"/>
      <c r="M81" s="161" t="n"/>
      <c r="N81" s="135" t="n"/>
      <c r="O81" s="135" t="n"/>
      <c r="P81" s="161" t="n"/>
    </row>
    <row r="82">
      <c r="A82" s="177" t="n"/>
      <c r="B82" s="187" t="n"/>
      <c r="C82" s="178" t="n"/>
      <c r="D82" s="179" t="n"/>
      <c r="E82" s="177" t="n"/>
      <c r="F82" s="177" t="n"/>
      <c r="G82" s="178" t="n"/>
      <c r="H82" s="177" t="n"/>
      <c r="I82" s="177" t="n"/>
      <c r="J82" s="177" t="n"/>
      <c r="K82" s="179" t="n"/>
      <c r="L82" s="178" t="n"/>
      <c r="M82" s="177" t="n"/>
      <c r="N82" s="179" t="n"/>
      <c r="O82" s="179" t="n"/>
      <c r="P82" s="177" t="n"/>
    </row>
    <row r="83">
      <c r="A83" s="187" t="n"/>
      <c r="B83" s="187" t="n"/>
      <c r="C83" s="158" t="n"/>
      <c r="D83" s="159" t="n"/>
      <c r="E83" s="187" t="n"/>
      <c r="F83" s="187" t="n"/>
      <c r="G83" s="158" t="n"/>
      <c r="H83" s="187" t="n"/>
      <c r="I83" s="187" t="n"/>
      <c r="J83" s="187" t="n"/>
      <c r="K83" s="159" t="n"/>
      <c r="L83" s="158" t="n"/>
      <c r="M83" s="187" t="n"/>
      <c r="N83" s="159" t="n"/>
      <c r="O83" s="159" t="n"/>
      <c r="P83" s="187" t="n"/>
    </row>
    <row r="84">
      <c r="A84" s="187" t="n"/>
      <c r="B84" s="187" t="n"/>
      <c r="C84" s="134" t="n"/>
      <c r="D84" s="135" t="n"/>
      <c r="E84" s="161" t="n"/>
      <c r="F84" s="161" t="n"/>
      <c r="G84" s="134" t="n"/>
      <c r="H84" s="161" t="n"/>
      <c r="I84" s="161" t="n"/>
      <c r="J84" s="161" t="n"/>
      <c r="K84" s="135" t="n"/>
      <c r="L84" s="134" t="n"/>
      <c r="M84" s="161" t="n"/>
      <c r="N84" s="135" t="n"/>
      <c r="O84" s="135" t="n"/>
      <c r="P84" s="161" t="n"/>
    </row>
    <row r="85">
      <c r="A85" s="183" t="n"/>
      <c r="B85" s="187" t="n"/>
      <c r="C85" s="188" t="n"/>
      <c r="D85" s="185" t="n"/>
      <c r="E85" s="183" t="n"/>
      <c r="F85" s="183" t="n"/>
      <c r="G85" s="188" t="n"/>
      <c r="H85" s="183" t="n"/>
      <c r="I85" s="183" t="n"/>
      <c r="J85" s="183" t="n"/>
      <c r="K85" s="189" t="n"/>
      <c r="L85" s="188" t="n"/>
      <c r="M85" s="183" t="n"/>
      <c r="N85" s="189" t="n"/>
      <c r="O85" s="189" t="n"/>
      <c r="P85" s="183" t="n"/>
    </row>
    <row r="86">
      <c r="A86" s="187" t="n"/>
      <c r="B86" s="187" t="n"/>
      <c r="C86" s="134" t="n"/>
      <c r="D86" s="135" t="n"/>
      <c r="E86" s="161" t="n"/>
      <c r="F86" s="161" t="n"/>
      <c r="G86" s="134" t="n"/>
      <c r="H86" s="161" t="n"/>
      <c r="I86" s="161" t="n"/>
      <c r="J86" s="161" t="n"/>
      <c r="K86" s="135" t="n"/>
      <c r="L86" s="134" t="n"/>
      <c r="M86" s="161" t="n"/>
      <c r="N86" s="135" t="n"/>
      <c r="O86" s="135" t="n"/>
      <c r="P86" s="161" t="n"/>
    </row>
    <row r="87">
      <c r="A87" s="187" t="n"/>
      <c r="B87" s="187" t="n"/>
      <c r="C87" s="134" t="n"/>
      <c r="D87" s="135" t="n"/>
      <c r="E87" s="161" t="n"/>
      <c r="F87" s="161" t="n"/>
      <c r="G87" s="134" t="n"/>
      <c r="H87" s="161" t="n"/>
      <c r="I87" s="161" t="n"/>
      <c r="J87" s="161" t="n"/>
      <c r="K87" s="135" t="n"/>
      <c r="L87" s="134" t="n"/>
      <c r="M87" s="161" t="n"/>
      <c r="N87" s="135" t="n"/>
      <c r="O87" s="135" t="n"/>
      <c r="P87" s="161" t="n"/>
    </row>
    <row r="88" ht="12" customFormat="1" customHeight="1" s="113">
      <c r="A88" s="136" t="n"/>
      <c r="B88" s="136" t="n"/>
      <c r="C88" s="137" t="n"/>
      <c r="D88" s="138" t="n"/>
      <c r="E88" s="136" t="n"/>
      <c r="F88" s="136" t="n"/>
      <c r="G88" s="137" t="n"/>
      <c r="H88" s="136" t="n"/>
      <c r="I88" s="136" t="n"/>
      <c r="J88" s="136" t="n"/>
      <c r="K88" s="138" t="n"/>
      <c r="L88" s="137" t="n"/>
      <c r="M88" s="136" t="n"/>
      <c r="N88" s="138" t="n"/>
      <c r="O88" s="138" t="n"/>
      <c r="P88" s="136" t="n"/>
    </row>
    <row r="89" ht="12" customFormat="1" customHeight="1" s="113">
      <c r="A89" s="136" t="n"/>
      <c r="B89" s="136" t="n"/>
      <c r="C89" s="137" t="n"/>
      <c r="D89" s="138" t="n"/>
      <c r="E89" s="136" t="n"/>
      <c r="F89" s="136" t="n"/>
      <c r="G89" s="137" t="n"/>
      <c r="H89" s="136" t="n"/>
      <c r="I89" s="136" t="n"/>
      <c r="J89" s="136" t="n"/>
      <c r="K89" s="138" t="n"/>
      <c r="L89" s="137" t="n"/>
      <c r="M89" s="136" t="n"/>
      <c r="N89" s="138" t="n"/>
      <c r="O89" s="138" t="n"/>
      <c r="P89" s="136" t="n"/>
    </row>
    <row r="90" ht="12" customFormat="1" customHeight="1" s="113">
      <c r="A90" s="136" t="n"/>
      <c r="B90" s="136" t="n"/>
      <c r="C90" s="137" t="n"/>
      <c r="D90" s="138" t="n"/>
      <c r="E90" s="136" t="n"/>
      <c r="F90" s="136" t="n"/>
      <c r="G90" s="137" t="n"/>
      <c r="H90" s="136" t="n"/>
      <c r="I90" s="136" t="n"/>
      <c r="J90" s="136" t="n"/>
      <c r="K90" s="138" t="n"/>
      <c r="L90" s="137" t="n"/>
      <c r="M90" s="136" t="n"/>
      <c r="N90" s="138" t="n"/>
      <c r="O90" s="138" t="n"/>
      <c r="P90" s="136" t="n"/>
    </row>
    <row r="91" ht="12" customFormat="1" customHeight="1" s="113">
      <c r="A91" s="136" t="n"/>
      <c r="B91" s="136" t="n"/>
      <c r="C91" s="137" t="n"/>
      <c r="D91" s="138" t="n"/>
      <c r="E91" s="136" t="n"/>
      <c r="F91" s="136" t="n"/>
      <c r="G91" s="137" t="n"/>
      <c r="H91" s="136" t="n"/>
      <c r="I91" s="136" t="n"/>
      <c r="J91" s="136" t="n"/>
      <c r="K91" s="138" t="n"/>
      <c r="L91" s="137" t="n"/>
      <c r="M91" s="136" t="n"/>
      <c r="N91" s="138" t="n"/>
      <c r="O91" s="138" t="n"/>
      <c r="P91" s="136" t="n"/>
    </row>
    <row r="92" ht="12" customFormat="1" customHeight="1" s="113">
      <c r="A92" s="136" t="n"/>
      <c r="B92" s="136" t="n"/>
      <c r="C92" s="112" t="n"/>
      <c r="D92" s="163" t="n"/>
      <c r="E92" s="162" t="n"/>
      <c r="F92" s="162" t="n"/>
      <c r="G92" s="112" t="n"/>
      <c r="H92" s="162" t="n"/>
      <c r="I92" s="162" t="n"/>
      <c r="J92" s="162" t="n"/>
      <c r="K92" s="163" t="n"/>
      <c r="L92" s="112" t="n"/>
      <c r="M92" s="162" t="n"/>
      <c r="N92" s="163" t="n"/>
      <c r="O92" s="163" t="n"/>
      <c r="P92" s="162" t="n"/>
    </row>
    <row r="93" ht="12" customFormat="1" customHeight="1" s="113">
      <c r="A93" s="136" t="n"/>
      <c r="B93" s="136" t="n"/>
      <c r="C93" s="112" t="n"/>
      <c r="D93" s="163" t="n"/>
      <c r="E93" s="162" t="n"/>
      <c r="F93" s="162" t="n"/>
      <c r="G93" s="112" t="n"/>
      <c r="H93" s="162" t="n"/>
      <c r="I93" s="162" t="n"/>
      <c r="J93" s="162" t="n"/>
      <c r="K93" s="163" t="n"/>
      <c r="L93" s="112" t="n"/>
      <c r="M93" s="162" t="n"/>
      <c r="N93" s="163" t="n"/>
      <c r="O93" s="163" t="n"/>
      <c r="P93" s="162" t="n"/>
    </row>
    <row r="94" ht="12" customFormat="1" customHeight="1" s="116">
      <c r="A94" s="136" t="n"/>
      <c r="B94" s="136" t="n"/>
      <c r="C94" s="112" t="n"/>
      <c r="D94" s="163" t="n"/>
      <c r="E94" s="162" t="n"/>
      <c r="F94" s="162" t="n"/>
      <c r="G94" s="112" t="n"/>
      <c r="H94" s="162" t="n"/>
      <c r="I94" s="162" t="n"/>
      <c r="J94" s="162" t="n"/>
      <c r="K94" s="163" t="n"/>
      <c r="L94" s="112" t="n"/>
      <c r="M94" s="162" t="n"/>
      <c r="N94" s="163" t="n"/>
      <c r="O94" s="163" t="n"/>
      <c r="P94" s="162" t="n"/>
    </row>
    <row r="95" ht="12" customFormat="1" customHeight="1" s="113">
      <c r="A95" s="136" t="n"/>
      <c r="B95" s="136" t="n"/>
      <c r="C95" s="137" t="n"/>
      <c r="D95" s="138" t="n"/>
      <c r="E95" s="136" t="n"/>
      <c r="F95" s="136" t="n"/>
      <c r="G95" s="137" t="n"/>
      <c r="H95" s="136" t="n"/>
      <c r="I95" s="136" t="n"/>
      <c r="J95" s="136" t="n"/>
      <c r="K95" s="138" t="n"/>
      <c r="L95" s="137" t="n"/>
      <c r="M95" s="136" t="n"/>
      <c r="N95" s="138" t="n"/>
      <c r="O95" s="138" t="n"/>
      <c r="P95" s="136" t="n"/>
    </row>
    <row r="96" ht="12" customFormat="1" customHeight="1" s="113">
      <c r="A96" s="136" t="n"/>
      <c r="B96" s="136" t="n"/>
      <c r="C96" s="137" t="n"/>
      <c r="D96" s="138" t="n"/>
      <c r="E96" s="136" t="n"/>
      <c r="F96" s="136" t="n"/>
      <c r="G96" s="137" t="n"/>
      <c r="H96" s="136" t="n"/>
      <c r="I96" s="136" t="n"/>
      <c r="J96" s="136" t="n"/>
      <c r="K96" s="138" t="n"/>
      <c r="L96" s="137" t="n"/>
      <c r="M96" s="136" t="n"/>
      <c r="N96" s="138" t="n"/>
      <c r="O96" s="138" t="n"/>
      <c r="P96" s="136" t="n"/>
    </row>
    <row r="97" ht="12" customFormat="1" customHeight="1" s="113">
      <c r="A97" s="162" t="n"/>
      <c r="B97" s="136" t="n"/>
      <c r="C97" s="112" t="n"/>
      <c r="D97" s="163" t="n"/>
      <c r="E97" s="162" t="n"/>
      <c r="F97" s="162" t="n"/>
      <c r="G97" s="112" t="n"/>
      <c r="H97" s="162" t="n"/>
      <c r="I97" s="162" t="n"/>
      <c r="J97" s="162" t="n"/>
      <c r="K97" s="163" t="n"/>
      <c r="L97" s="112" t="n"/>
      <c r="M97" s="162" t="n"/>
      <c r="N97" s="163" t="n"/>
      <c r="O97" s="163" t="n"/>
      <c r="P97" s="162" t="n"/>
    </row>
    <row r="98" ht="12" customFormat="1" customHeight="1" s="113">
      <c r="A98" s="136" t="n"/>
      <c r="B98" s="136" t="n"/>
      <c r="C98" s="137" t="n"/>
      <c r="D98" s="138" t="n"/>
      <c r="E98" s="136" t="n"/>
      <c r="F98" s="136" t="n"/>
      <c r="G98" s="137" t="n"/>
      <c r="H98" s="136" t="n"/>
      <c r="I98" s="136" t="n"/>
      <c r="J98" s="136" t="n"/>
      <c r="K98" s="138" t="n"/>
      <c r="L98" s="137" t="n"/>
      <c r="M98" s="136" t="n"/>
      <c r="N98" s="138" t="n"/>
      <c r="O98" s="138" t="n"/>
      <c r="P98" s="136" t="n"/>
    </row>
    <row r="99" ht="12" customFormat="1" customHeight="1" s="113">
      <c r="A99" s="166" t="n"/>
      <c r="B99" s="136" t="n"/>
      <c r="C99" s="167" t="n"/>
      <c r="D99" s="168" t="n"/>
      <c r="E99" s="166" t="n"/>
      <c r="F99" s="166" t="n"/>
      <c r="G99" s="167" t="n"/>
      <c r="H99" s="166" t="n"/>
      <c r="I99" s="166" t="n"/>
      <c r="J99" s="166" t="n"/>
      <c r="K99" s="168" t="n"/>
      <c r="L99" s="167" t="n"/>
      <c r="M99" s="166" t="n"/>
      <c r="N99" s="168" t="n"/>
      <c r="O99" s="168" t="n"/>
      <c r="P99" s="166" t="n"/>
    </row>
    <row r="100" ht="12" customFormat="1" customHeight="1" s="113">
      <c r="A100" s="162" t="n"/>
      <c r="B100" s="136" t="n"/>
      <c r="C100" s="112" t="n"/>
      <c r="D100" s="163" t="n"/>
      <c r="E100" s="162" t="n"/>
      <c r="F100" s="162" t="n"/>
      <c r="G100" s="112" t="n"/>
      <c r="H100" s="162" t="n"/>
      <c r="I100" s="162" t="n"/>
      <c r="J100" s="162" t="n"/>
      <c r="K100" s="163" t="n"/>
      <c r="L100" s="112" t="n"/>
      <c r="M100" s="162" t="n"/>
      <c r="N100" s="163" t="n"/>
      <c r="O100" s="163" t="n"/>
      <c r="P100" s="162" t="n"/>
    </row>
    <row r="101" ht="12" customFormat="1" customHeight="1" s="113">
      <c r="A101" s="169" t="n"/>
      <c r="B101" s="136" t="n"/>
      <c r="C101" s="170" t="n"/>
      <c r="D101" s="171" t="n"/>
      <c r="E101" s="169" t="n"/>
      <c r="F101" s="169" t="n"/>
      <c r="G101" s="170" t="n"/>
      <c r="H101" s="169" t="n"/>
      <c r="I101" s="169" t="n"/>
      <c r="J101" s="169" t="n"/>
      <c r="K101" s="171" t="n"/>
      <c r="L101" s="170" t="n"/>
      <c r="M101" s="169" t="n"/>
      <c r="N101" s="171" t="n"/>
      <c r="O101" s="171" t="n"/>
      <c r="P101" s="169" t="n"/>
    </row>
    <row r="102" ht="12" customFormat="1" customHeight="1" s="113">
      <c r="A102" s="136" t="n"/>
      <c r="B102" s="136" t="n"/>
      <c r="C102" s="112" t="n"/>
      <c r="D102" s="163" t="n"/>
      <c r="E102" s="162" t="n"/>
      <c r="F102" s="162" t="n"/>
      <c r="G102" s="112" t="n"/>
      <c r="H102" s="162" t="n"/>
      <c r="I102" s="162" t="n"/>
      <c r="J102" s="162" t="n"/>
      <c r="K102" s="163" t="n"/>
      <c r="L102" s="112" t="n"/>
      <c r="M102" s="162" t="n"/>
      <c r="N102" s="163" t="n"/>
      <c r="O102" s="163" t="n"/>
      <c r="P102" s="162" t="n"/>
    </row>
    <row r="103" ht="12" customFormat="1" customHeight="1" s="113">
      <c r="A103" s="136" t="n"/>
      <c r="B103" s="136" t="n"/>
      <c r="C103" s="137" t="n"/>
      <c r="D103" s="138" t="n"/>
      <c r="E103" s="136" t="n"/>
      <c r="F103" s="136" t="n"/>
      <c r="G103" s="137" t="n"/>
      <c r="H103" s="136" t="n"/>
      <c r="I103" s="136" t="n"/>
      <c r="J103" s="136" t="n"/>
      <c r="K103" s="138" t="n"/>
      <c r="L103" s="137" t="n"/>
      <c r="M103" s="136" t="n"/>
      <c r="N103" s="138" t="n"/>
      <c r="O103" s="138" t="n"/>
      <c r="P103" s="136" t="n"/>
    </row>
    <row r="104" ht="12" customFormat="1" customHeight="1" s="113">
      <c r="A104" s="169" t="n"/>
      <c r="B104" s="136" t="n"/>
      <c r="C104" s="170" t="n"/>
      <c r="D104" s="168" t="n"/>
      <c r="E104" s="166" t="n"/>
      <c r="F104" s="172" t="n"/>
      <c r="G104" s="167" t="n"/>
      <c r="H104" s="166" t="n"/>
      <c r="I104" s="166" t="n"/>
      <c r="J104" s="166" t="n"/>
      <c r="K104" s="168" t="n"/>
      <c r="L104" s="167" t="n"/>
      <c r="M104" s="166" t="n"/>
      <c r="N104" s="168" t="n"/>
      <c r="O104" s="168" t="n"/>
      <c r="P104" s="166" t="n"/>
    </row>
    <row r="105" ht="12" customFormat="1" customHeight="1" s="113">
      <c r="A105" s="136" t="n"/>
      <c r="B105" s="136" t="n"/>
      <c r="C105" s="137" t="n"/>
      <c r="D105" s="138" t="n"/>
      <c r="E105" s="136" t="n"/>
      <c r="F105" s="136" t="n"/>
      <c r="G105" s="137" t="n"/>
      <c r="H105" s="136" t="n"/>
      <c r="I105" s="136" t="n"/>
      <c r="J105" s="136" t="n"/>
      <c r="K105" s="138" t="n"/>
      <c r="L105" s="137" t="n"/>
      <c r="M105" s="136" t="n"/>
      <c r="N105" s="138" t="n"/>
      <c r="O105" s="138" t="n"/>
      <c r="P105" s="136" t="n"/>
    </row>
    <row r="106" ht="12" customFormat="1" customHeight="1" s="113">
      <c r="A106" s="136" t="n"/>
      <c r="B106" s="136" t="n"/>
      <c r="C106" s="137" t="n"/>
      <c r="D106" s="138" t="n"/>
      <c r="E106" s="136" t="n"/>
      <c r="F106" s="136" t="n"/>
      <c r="G106" s="137" t="n"/>
      <c r="H106" s="136" t="n"/>
      <c r="I106" s="136" t="n"/>
      <c r="J106" s="136" t="n"/>
      <c r="K106" s="138" t="n"/>
      <c r="L106" s="137" t="n"/>
      <c r="M106" s="136" t="n"/>
      <c r="N106" s="138" t="n"/>
      <c r="O106" s="138" t="n"/>
      <c r="P106" s="136" t="n"/>
    </row>
    <row r="107" ht="12" customFormat="1" customHeight="1" s="113">
      <c r="A107" s="169" t="n"/>
      <c r="B107" s="136" t="n"/>
      <c r="C107" s="170" t="n"/>
      <c r="D107" s="171" t="n"/>
      <c r="E107" s="169" t="n"/>
      <c r="F107" s="169" t="n"/>
      <c r="G107" s="170" t="n"/>
      <c r="H107" s="169" t="n"/>
      <c r="I107" s="169" t="n"/>
      <c r="J107" s="169" t="n"/>
      <c r="K107" s="171" t="n"/>
      <c r="L107" s="170" t="n"/>
      <c r="M107" s="169" t="n"/>
      <c r="N107" s="171" t="n"/>
      <c r="O107" s="171" t="n"/>
      <c r="P107" s="169" t="n"/>
    </row>
    <row r="108" ht="12" customFormat="1" customHeight="1" s="113">
      <c r="A108" s="136" t="n"/>
      <c r="B108" s="136" t="n"/>
      <c r="C108" s="112" t="n"/>
      <c r="D108" s="163" t="n"/>
      <c r="E108" s="162" t="n"/>
      <c r="F108" s="162" t="n"/>
      <c r="G108" s="112" t="n"/>
      <c r="H108" s="162" t="n"/>
      <c r="I108" s="162" t="n"/>
      <c r="J108" s="162" t="n"/>
      <c r="K108" s="163" t="n"/>
      <c r="L108" s="112" t="n"/>
      <c r="M108" s="162" t="n"/>
      <c r="N108" s="163" t="n"/>
      <c r="O108" s="163" t="n"/>
      <c r="P108" s="162" t="n"/>
    </row>
    <row r="109" ht="12" customFormat="1" customHeight="1" s="113">
      <c r="A109" s="136" t="n"/>
      <c r="B109" s="136" t="n"/>
      <c r="C109" s="137" t="n"/>
      <c r="D109" s="138" t="n"/>
      <c r="E109" s="136" t="n"/>
      <c r="F109" s="136" t="n"/>
      <c r="G109" s="137" t="n"/>
      <c r="H109" s="136" t="n"/>
      <c r="I109" s="136" t="n"/>
      <c r="J109" s="136" t="n"/>
      <c r="K109" s="138" t="n"/>
      <c r="L109" s="137" t="n"/>
      <c r="M109" s="136" t="n"/>
      <c r="N109" s="138" t="n"/>
      <c r="O109" s="138" t="n"/>
      <c r="P109" s="136" t="n"/>
    </row>
    <row r="110" ht="12" customFormat="1" customHeight="1" s="113">
      <c r="A110" s="136" t="n"/>
      <c r="B110" s="136" t="n"/>
      <c r="C110" s="137" t="n"/>
      <c r="D110" s="138" t="n"/>
      <c r="E110" s="136" t="n"/>
      <c r="F110" s="136" t="n"/>
      <c r="G110" s="137" t="n"/>
      <c r="H110" s="136" t="n"/>
      <c r="I110" s="136" t="n"/>
      <c r="J110" s="136" t="n"/>
      <c r="K110" s="138" t="n"/>
      <c r="L110" s="137" t="n"/>
      <c r="M110" s="136" t="n"/>
      <c r="N110" s="138" t="n"/>
      <c r="O110" s="138" t="n"/>
      <c r="P110" s="136" t="n"/>
    </row>
    <row r="111" ht="12" customFormat="1" customHeight="1" s="113">
      <c r="A111" s="136" t="n"/>
      <c r="B111" s="136" t="n"/>
      <c r="C111" s="137" t="n"/>
      <c r="D111" s="138" t="n"/>
      <c r="E111" s="136" t="n"/>
      <c r="F111" s="136" t="n"/>
      <c r="G111" s="137" t="n"/>
      <c r="H111" s="136" t="n"/>
      <c r="I111" s="136" t="n"/>
      <c r="J111" s="136" t="n"/>
      <c r="K111" s="138" t="n"/>
      <c r="L111" s="137" t="n"/>
      <c r="M111" s="136" t="n"/>
      <c r="N111" s="138" t="n"/>
      <c r="O111" s="138" t="n"/>
      <c r="P111" s="136" t="n"/>
    </row>
    <row r="112" ht="12" customFormat="1" customHeight="1" s="113">
      <c r="A112" s="136" t="n"/>
      <c r="B112" s="136" t="n"/>
      <c r="C112" s="137" t="n"/>
      <c r="D112" s="163" t="n"/>
      <c r="E112" s="136" t="n"/>
      <c r="F112" s="136" t="n"/>
      <c r="G112" s="137" t="n"/>
      <c r="H112" s="136" t="n"/>
      <c r="I112" s="136" t="n"/>
      <c r="J112" s="136" t="n"/>
      <c r="K112" s="138" t="n"/>
      <c r="L112" s="137" t="n"/>
      <c r="M112" s="136" t="n"/>
      <c r="N112" s="138" t="n"/>
      <c r="O112" s="138" t="n"/>
      <c r="P112" s="136" t="n"/>
    </row>
    <row r="113" ht="12" customFormat="1" customHeight="1" s="113">
      <c r="A113" s="136" t="n"/>
      <c r="B113" s="136" t="n"/>
      <c r="C113" s="112" t="n"/>
      <c r="D113" s="163" t="n"/>
      <c r="E113" s="162" t="n"/>
      <c r="F113" s="162" t="n"/>
      <c r="G113" s="112" t="n"/>
      <c r="H113" s="162" t="n"/>
      <c r="I113" s="162" t="n"/>
      <c r="J113" s="162" t="n"/>
      <c r="K113" s="163" t="n"/>
      <c r="L113" s="112" t="n"/>
      <c r="M113" s="162" t="n"/>
      <c r="N113" s="163" t="n"/>
      <c r="O113" s="163" t="n"/>
      <c r="P113" s="162" t="n"/>
    </row>
    <row r="114" ht="12" customFormat="1" customHeight="1" s="113">
      <c r="A114" s="136" t="n"/>
      <c r="B114" s="136" t="n"/>
      <c r="C114" s="137" t="n"/>
      <c r="D114" s="138" t="n"/>
      <c r="E114" s="136" t="n"/>
      <c r="F114" s="140" t="n"/>
      <c r="G114" s="137" t="n"/>
      <c r="H114" s="136" t="n"/>
      <c r="I114" s="136" t="n"/>
      <c r="J114" s="136" t="n"/>
      <c r="K114" s="138" t="n"/>
      <c r="L114" s="137" t="n"/>
      <c r="M114" s="136" t="n"/>
      <c r="N114" s="138" t="n"/>
      <c r="O114" s="138" t="n"/>
      <c r="P114" s="136" t="n"/>
    </row>
    <row r="115" ht="12" customFormat="1" customHeight="1" s="113">
      <c r="A115" s="136" t="n"/>
      <c r="B115" s="136" t="n"/>
      <c r="C115" s="137" t="n"/>
      <c r="D115" s="138" t="n"/>
      <c r="E115" s="136" t="n"/>
      <c r="F115" s="136" t="n"/>
      <c r="G115" s="137" t="n"/>
      <c r="H115" s="136" t="n"/>
      <c r="I115" s="136" t="n"/>
      <c r="J115" s="136" t="n"/>
      <c r="K115" s="138" t="n"/>
      <c r="L115" s="137" t="n"/>
      <c r="M115" s="136" t="n"/>
      <c r="N115" s="138" t="n"/>
      <c r="O115" s="138" t="n"/>
      <c r="P115" s="136" t="n"/>
    </row>
    <row r="116" ht="12" customFormat="1" customHeight="1" s="113">
      <c r="A116" s="169" t="n"/>
      <c r="B116" s="136" t="n"/>
      <c r="C116" s="170" t="n"/>
      <c r="D116" s="171" t="n"/>
      <c r="E116" s="169" t="n"/>
      <c r="F116" s="169" t="n"/>
      <c r="G116" s="170" t="n"/>
      <c r="H116" s="169" t="n"/>
      <c r="I116" s="169" t="n"/>
      <c r="J116" s="169" t="n"/>
      <c r="K116" s="171" t="n"/>
      <c r="L116" s="170" t="n"/>
      <c r="M116" s="169" t="n"/>
      <c r="N116" s="171" t="n"/>
      <c r="O116" s="171" t="n"/>
      <c r="P116" s="169" t="n"/>
    </row>
    <row r="117" ht="12" customFormat="1" customHeight="1" s="113">
      <c r="A117" s="136" t="n"/>
      <c r="B117" s="136" t="n"/>
      <c r="C117" s="137" t="n"/>
      <c r="D117" s="163" t="n"/>
      <c r="E117" s="136" t="n"/>
      <c r="F117" s="136" t="n"/>
      <c r="G117" s="137" t="n"/>
      <c r="H117" s="136" t="n"/>
      <c r="I117" s="136" t="n"/>
      <c r="J117" s="136" t="n"/>
      <c r="K117" s="138" t="n"/>
      <c r="L117" s="137" t="n"/>
      <c r="M117" s="136" t="n"/>
      <c r="N117" s="138" t="n"/>
      <c r="O117" s="138" t="n"/>
      <c r="P117" s="136" t="n"/>
    </row>
    <row r="118" ht="12" customFormat="1" customHeight="1" s="113">
      <c r="A118" s="136" t="n"/>
      <c r="B118" s="136" t="n"/>
      <c r="C118" s="137" t="n"/>
      <c r="D118" s="138" t="n"/>
      <c r="E118" s="136" t="n"/>
      <c r="F118" s="136" t="n"/>
      <c r="G118" s="137" t="n"/>
      <c r="H118" s="136" t="n"/>
      <c r="I118" s="136" t="n"/>
      <c r="J118" s="136" t="n"/>
      <c r="K118" s="138" t="n"/>
      <c r="L118" s="137" t="n"/>
      <c r="M118" s="136" t="n"/>
      <c r="N118" s="138" t="n"/>
      <c r="O118" s="138" t="n"/>
      <c r="P118" s="136" t="n"/>
    </row>
    <row r="119" ht="12" customFormat="1" customHeight="1" s="113">
      <c r="A119" s="136" t="n"/>
      <c r="B119" s="136" t="n"/>
      <c r="C119" s="137" t="n"/>
      <c r="D119" s="138" t="n"/>
      <c r="E119" s="136" t="n"/>
      <c r="F119" s="136" t="n"/>
      <c r="G119" s="137" t="n"/>
      <c r="H119" s="136" t="n"/>
      <c r="I119" s="136" t="n"/>
      <c r="J119" s="136" t="n"/>
      <c r="K119" s="138" t="n"/>
      <c r="L119" s="139" t="n"/>
      <c r="M119" s="136" t="n"/>
      <c r="N119" s="138" t="n"/>
      <c r="O119" s="138" t="n"/>
      <c r="P119" s="136" t="n"/>
    </row>
    <row r="120" ht="12" customFormat="1" customHeight="1" s="113">
      <c r="A120" s="162" t="n"/>
      <c r="B120" s="136" t="n"/>
      <c r="C120" s="112" t="n"/>
      <c r="D120" s="163" t="n"/>
      <c r="E120" s="162" t="n"/>
      <c r="F120" s="162" t="n"/>
      <c r="G120" s="112" t="n"/>
      <c r="H120" s="162" t="n"/>
      <c r="I120" s="162" t="n"/>
      <c r="J120" s="162" t="n"/>
      <c r="K120" s="163" t="n"/>
      <c r="L120" s="112" t="n"/>
      <c r="M120" s="162" t="n"/>
      <c r="N120" s="163" t="n"/>
      <c r="O120" s="163" t="n"/>
      <c r="P120" s="162" t="n"/>
    </row>
    <row r="121" ht="12" customFormat="1" customHeight="1" s="113">
      <c r="A121" s="136" t="n"/>
      <c r="B121" s="136" t="n"/>
      <c r="C121" s="137" t="n"/>
      <c r="D121" s="138" t="n"/>
      <c r="E121" s="136" t="n"/>
      <c r="F121" s="136" t="n"/>
      <c r="G121" s="137" t="n"/>
      <c r="H121" s="136" t="n"/>
      <c r="I121" s="136" t="n"/>
      <c r="J121" s="136" t="n"/>
      <c r="K121" s="138" t="n"/>
      <c r="L121" s="137" t="n"/>
      <c r="M121" s="136" t="n"/>
      <c r="N121" s="138" t="n"/>
      <c r="O121" s="138" t="n"/>
      <c r="P121" s="136" t="n"/>
    </row>
    <row r="122" ht="12" customFormat="1" customHeight="1" s="113">
      <c r="A122" s="136" t="n"/>
      <c r="B122" s="136" t="n"/>
      <c r="C122" s="112" t="n"/>
      <c r="D122" s="163" t="n"/>
      <c r="E122" s="162" t="n"/>
      <c r="F122" s="162" t="n"/>
      <c r="G122" s="112" t="n"/>
      <c r="H122" s="162" t="n"/>
      <c r="I122" s="162" t="n"/>
      <c r="J122" s="162" t="n"/>
      <c r="K122" s="163" t="n"/>
      <c r="L122" s="112" t="n"/>
      <c r="M122" s="162" t="n"/>
      <c r="N122" s="163" t="n"/>
      <c r="O122" s="163" t="n"/>
      <c r="P122" s="162" t="n"/>
    </row>
    <row r="123" ht="12" customFormat="1" customHeight="1" s="113">
      <c r="A123" s="162" t="n"/>
      <c r="B123" s="136" t="n"/>
      <c r="C123" s="112" t="n"/>
      <c r="D123" s="163" t="n"/>
      <c r="E123" s="162" t="n"/>
      <c r="F123" s="162" t="n"/>
      <c r="G123" s="112" t="n"/>
      <c r="H123" s="162" t="n"/>
      <c r="I123" s="162" t="n"/>
      <c r="J123" s="162" t="n"/>
      <c r="K123" s="163" t="n"/>
      <c r="L123" s="112" t="n"/>
      <c r="M123" s="162" t="n"/>
      <c r="N123" s="163" t="n"/>
      <c r="O123" s="163" t="n"/>
      <c r="P123" s="162" t="n"/>
    </row>
    <row r="124" ht="12" customFormat="1" customHeight="1" s="113">
      <c r="A124" s="162" t="n"/>
      <c r="B124" s="136" t="n"/>
      <c r="C124" s="112" t="n"/>
      <c r="D124" s="163" t="n"/>
      <c r="E124" s="162" t="n"/>
      <c r="F124" s="162" t="n"/>
      <c r="G124" s="112" t="n"/>
      <c r="H124" s="162" t="n"/>
      <c r="I124" s="162" t="n"/>
      <c r="J124" s="162" t="n"/>
      <c r="K124" s="163" t="n"/>
      <c r="L124" s="112" t="n"/>
      <c r="M124" s="162" t="n"/>
      <c r="N124" s="163" t="n"/>
      <c r="O124" s="163" t="n"/>
      <c r="P124" s="162" t="n"/>
    </row>
    <row r="125" ht="12" customFormat="1" customHeight="1" s="113">
      <c r="A125" s="166" t="n"/>
      <c r="B125" s="136" t="n"/>
      <c r="C125" s="167" t="n"/>
      <c r="D125" s="168" t="n"/>
      <c r="E125" s="166" t="n"/>
      <c r="F125" s="166" t="n"/>
      <c r="G125" s="167" t="n"/>
      <c r="H125" s="166" t="n"/>
      <c r="I125" s="166" t="n"/>
      <c r="J125" s="166" t="n"/>
      <c r="K125" s="168" t="n"/>
      <c r="L125" s="167" t="n"/>
      <c r="M125" s="166" t="n"/>
      <c r="N125" s="168" t="n"/>
      <c r="O125" s="168" t="n"/>
      <c r="P125" s="166" t="n"/>
    </row>
    <row r="126" ht="12" customFormat="1" customHeight="1" s="113">
      <c r="A126" s="136" t="n"/>
      <c r="B126" s="136" t="n"/>
      <c r="C126" s="112" t="n"/>
      <c r="D126" s="163" t="n"/>
      <c r="E126" s="162" t="n"/>
      <c r="F126" s="162" t="n"/>
      <c r="G126" s="112" t="n"/>
      <c r="H126" s="162" t="n"/>
      <c r="I126" s="162" t="n"/>
      <c r="J126" s="162" t="n"/>
      <c r="K126" s="163" t="n"/>
      <c r="L126" s="112" t="n"/>
      <c r="M126" s="162" t="n"/>
      <c r="N126" s="163" t="n"/>
      <c r="O126" s="163" t="n"/>
      <c r="P126" s="162" t="n"/>
    </row>
    <row r="127" ht="12" customFormat="1" customHeight="1" s="113">
      <c r="A127" s="162" t="n"/>
      <c r="B127" s="162" t="n"/>
      <c r="C127" s="112" t="n"/>
      <c r="D127" s="163" t="n"/>
      <c r="E127" s="162" t="n"/>
      <c r="F127" s="162" t="n"/>
      <c r="G127" s="112" t="n"/>
      <c r="H127" s="162" t="n"/>
      <c r="I127" s="162" t="n"/>
      <c r="J127" s="162" t="n"/>
      <c r="K127" s="163" t="n"/>
      <c r="L127" s="112" t="n"/>
      <c r="M127" s="162" t="n"/>
      <c r="N127" s="163" t="n"/>
      <c r="O127" s="163" t="n"/>
      <c r="P127" s="162" t="n"/>
    </row>
    <row r="128" ht="12" customFormat="1" customHeight="1" s="113">
      <c r="A128" s="136" t="n"/>
      <c r="B128" s="136" t="n"/>
      <c r="C128" s="137" t="n"/>
      <c r="D128" s="138" t="n"/>
      <c r="E128" s="136" t="n"/>
      <c r="F128" s="136" t="n"/>
      <c r="G128" s="137" t="n"/>
      <c r="H128" s="136" t="n"/>
      <c r="I128" s="136" t="n"/>
      <c r="J128" s="136" t="n"/>
      <c r="K128" s="138" t="n"/>
      <c r="L128" s="137" t="n"/>
      <c r="M128" s="136" t="n"/>
      <c r="N128" s="138" t="n"/>
      <c r="O128" s="138" t="n"/>
      <c r="P128" s="136" t="n"/>
    </row>
    <row r="129" ht="12" customFormat="1" customHeight="1" s="113">
      <c r="A129" s="136" t="n"/>
      <c r="B129" s="136" t="n"/>
      <c r="C129" s="137" t="n"/>
      <c r="D129" s="138" t="n"/>
      <c r="E129" s="136" t="n"/>
      <c r="F129" s="136" t="n"/>
      <c r="G129" s="137" t="n"/>
      <c r="H129" s="136" t="n"/>
      <c r="I129" s="136" t="n"/>
      <c r="J129" s="136" t="n"/>
      <c r="K129" s="138" t="n"/>
      <c r="L129" s="137" t="n"/>
      <c r="M129" s="136" t="n"/>
      <c r="N129" s="138" t="n"/>
      <c r="O129" s="138" t="n"/>
      <c r="P129" s="136" t="n"/>
    </row>
    <row r="130" ht="12" customFormat="1" customHeight="1" s="113">
      <c r="A130" s="136" t="n"/>
      <c r="B130" s="136" t="n"/>
      <c r="C130" s="137" t="n"/>
      <c r="D130" s="138" t="n"/>
      <c r="E130" s="136" t="n"/>
      <c r="F130" s="136" t="n"/>
      <c r="G130" s="137" t="n"/>
      <c r="H130" s="136" t="n"/>
      <c r="I130" s="136" t="n"/>
      <c r="J130" s="136" t="n"/>
      <c r="K130" s="138" t="n"/>
      <c r="L130" s="137" t="n"/>
      <c r="M130" s="136" t="n"/>
      <c r="N130" s="138" t="n"/>
      <c r="O130" s="138" t="n"/>
      <c r="P130" s="136" t="n"/>
    </row>
    <row r="131" ht="12" customFormat="1" customHeight="1" s="113">
      <c r="A131" s="136" t="n"/>
      <c r="B131" s="136" t="n"/>
      <c r="C131" s="137" t="n"/>
      <c r="D131" s="138" t="n"/>
      <c r="E131" s="136" t="n"/>
      <c r="F131" s="136" t="n"/>
      <c r="G131" s="137" t="n"/>
      <c r="H131" s="136" t="n"/>
      <c r="I131" s="136" t="n"/>
      <c r="J131" s="136" t="n"/>
      <c r="K131" s="138" t="n"/>
      <c r="L131" s="137" t="n"/>
      <c r="M131" s="136" t="n"/>
      <c r="N131" s="138" t="n"/>
      <c r="O131" s="138" t="n"/>
      <c r="P131" s="136" t="n"/>
    </row>
    <row r="132" ht="12" customFormat="1" customHeight="1" s="113">
      <c r="A132" s="136" t="n"/>
      <c r="B132" s="136" t="n"/>
      <c r="C132" s="137" t="n"/>
      <c r="D132" s="137" t="n"/>
      <c r="E132" s="136" t="n"/>
      <c r="F132" s="136" t="n"/>
      <c r="G132" s="137" t="n"/>
      <c r="H132" s="136" t="n"/>
      <c r="I132" s="136" t="n"/>
      <c r="J132" s="136" t="n"/>
      <c r="K132" s="138" t="n"/>
      <c r="L132" s="137" t="n"/>
      <c r="M132" s="136" t="n"/>
      <c r="N132" s="138" t="n"/>
      <c r="O132" s="138" t="n"/>
      <c r="P132" s="136" t="n"/>
    </row>
    <row r="133" ht="12" customFormat="1" customHeight="1" s="113">
      <c r="A133" s="136" t="n"/>
      <c r="B133" s="136" t="n"/>
      <c r="C133" s="137" t="n"/>
      <c r="D133" s="138" t="n"/>
      <c r="E133" s="136" t="n"/>
      <c r="F133" s="136" t="n"/>
      <c r="G133" s="137" t="n"/>
      <c r="H133" s="136" t="n"/>
      <c r="I133" s="136" t="n"/>
      <c r="J133" s="136" t="n"/>
      <c r="K133" s="138" t="n"/>
      <c r="L133" s="137" t="n"/>
      <c r="M133" s="136" t="n"/>
      <c r="N133" s="138" t="n"/>
      <c r="O133" s="138" t="n"/>
      <c r="P133" s="136" t="n"/>
    </row>
    <row r="134" ht="12" customFormat="1" customHeight="1" s="113">
      <c r="A134" s="162" t="n"/>
      <c r="B134" s="136" t="n"/>
      <c r="C134" s="112" t="n"/>
      <c r="D134" s="163" t="n"/>
      <c r="E134" s="162" t="n"/>
      <c r="F134" s="162" t="n"/>
      <c r="G134" s="112" t="n"/>
      <c r="H134" s="162" t="n"/>
      <c r="I134" s="162" t="n"/>
      <c r="J134" s="162" t="n"/>
      <c r="K134" s="163" t="n"/>
      <c r="L134" s="112" t="n"/>
      <c r="M134" s="162" t="n"/>
      <c r="N134" s="163" t="n"/>
      <c r="O134" s="163" t="n"/>
      <c r="P134" s="162" t="n"/>
    </row>
    <row r="135" ht="12" customFormat="1" customHeight="1" s="113">
      <c r="A135" s="136" t="n"/>
      <c r="B135" s="136" t="n"/>
      <c r="C135" s="137" t="n"/>
      <c r="D135" s="138" t="n"/>
      <c r="E135" s="136" t="n"/>
      <c r="F135" s="136" t="n"/>
      <c r="G135" s="137" t="n"/>
      <c r="H135" s="136" t="n"/>
      <c r="I135" s="136" t="n"/>
      <c r="J135" s="136" t="n"/>
      <c r="K135" s="138" t="n"/>
      <c r="L135" s="137" t="n"/>
      <c r="M135" s="136" t="n"/>
      <c r="N135" s="138" t="n"/>
      <c r="O135" s="138" t="n"/>
      <c r="P135" s="136" t="n"/>
    </row>
    <row r="136" ht="12" customFormat="1" customHeight="1" s="113">
      <c r="A136" s="162" t="n"/>
      <c r="B136" s="136" t="n"/>
      <c r="C136" s="112" t="n"/>
      <c r="D136" s="163" t="n"/>
      <c r="E136" s="162" t="n"/>
      <c r="F136" s="162" t="n"/>
      <c r="G136" s="112" t="n"/>
      <c r="H136" s="162" t="n"/>
      <c r="I136" s="162" t="n"/>
      <c r="J136" s="162" t="n"/>
      <c r="K136" s="163" t="n"/>
      <c r="L136" s="112" t="n"/>
      <c r="M136" s="162" t="n"/>
      <c r="N136" s="163" t="n"/>
      <c r="O136" s="163" t="n"/>
      <c r="P136" s="162" t="n"/>
    </row>
    <row r="137" ht="12" customFormat="1" customHeight="1" s="113">
      <c r="A137" s="166" t="n"/>
      <c r="B137" s="136" t="n"/>
      <c r="C137" s="167" t="n"/>
      <c r="D137" s="168" t="n"/>
      <c r="E137" s="166" t="n"/>
      <c r="F137" s="166" t="n"/>
      <c r="G137" s="167" t="n"/>
      <c r="H137" s="166" t="n"/>
      <c r="I137" s="166" t="n"/>
      <c r="J137" s="166" t="n"/>
      <c r="K137" s="168" t="n"/>
      <c r="L137" s="167" t="n"/>
      <c r="M137" s="166" t="n"/>
      <c r="N137" s="168" t="n"/>
      <c r="O137" s="168" t="n"/>
      <c r="P137" s="166" t="n"/>
    </row>
    <row r="138" ht="12" customFormat="1" customHeight="1" s="113">
      <c r="A138" s="136" t="n"/>
      <c r="B138" s="136" t="n"/>
      <c r="C138" s="137" t="n"/>
      <c r="D138" s="138" t="n"/>
      <c r="E138" s="136" t="n"/>
      <c r="F138" s="136" t="n"/>
      <c r="G138" s="137" t="n"/>
      <c r="H138" s="136" t="n"/>
      <c r="I138" s="136" t="n"/>
      <c r="J138" s="136" t="n"/>
      <c r="K138" s="138" t="n"/>
      <c r="L138" s="137" t="n"/>
      <c r="M138" s="136" t="n"/>
      <c r="N138" s="138" t="n"/>
      <c r="O138" s="138" t="n"/>
      <c r="P138" s="136" t="n"/>
    </row>
    <row r="139" ht="12" customFormat="1" customHeight="1" s="113">
      <c r="A139" s="136" t="n"/>
      <c r="B139" s="136" t="n"/>
      <c r="C139" s="112" t="n"/>
      <c r="D139" s="163" t="n"/>
      <c r="E139" s="162" t="n"/>
      <c r="F139" s="162" t="n"/>
      <c r="G139" s="112" t="n"/>
      <c r="H139" s="162" t="n"/>
      <c r="I139" s="162" t="n"/>
      <c r="J139" s="162" t="n"/>
      <c r="K139" s="163" t="n"/>
      <c r="L139" s="112" t="n"/>
      <c r="M139" s="162" t="n"/>
      <c r="N139" s="163" t="n"/>
      <c r="O139" s="163" t="n"/>
      <c r="P139" s="162" t="n"/>
    </row>
    <row r="140" ht="12" customFormat="1" customHeight="1" s="113">
      <c r="A140" s="136" t="n"/>
      <c r="B140" s="136" t="n"/>
      <c r="C140" s="137" t="n"/>
      <c r="D140" s="138" t="n"/>
      <c r="E140" s="136" t="n"/>
      <c r="F140" s="136" t="n"/>
      <c r="G140" s="137" t="n"/>
      <c r="H140" s="136" t="n"/>
      <c r="I140" s="136" t="n"/>
      <c r="J140" s="136" t="n"/>
      <c r="K140" s="138" t="n"/>
      <c r="L140" s="137" t="n"/>
      <c r="M140" s="136" t="n"/>
      <c r="N140" s="138" t="n"/>
      <c r="O140" s="138" t="n"/>
      <c r="P140" s="136" t="n"/>
    </row>
    <row r="141" ht="12" customFormat="1" customHeight="1" s="113">
      <c r="A141" s="136" t="n"/>
      <c r="B141" s="136" t="n"/>
      <c r="C141" s="137" t="n"/>
      <c r="D141" s="138" t="n"/>
      <c r="E141" s="136" t="n"/>
      <c r="F141" s="136" t="n"/>
      <c r="G141" s="137" t="n"/>
      <c r="H141" s="136" t="n"/>
      <c r="I141" s="136" t="n"/>
      <c r="J141" s="136" t="n"/>
      <c r="K141" s="138" t="n"/>
      <c r="L141" s="137" t="n"/>
      <c r="M141" s="136" t="n"/>
      <c r="N141" s="138" t="n"/>
      <c r="O141" s="138" t="n"/>
      <c r="P141" s="136" t="n"/>
    </row>
    <row r="142" ht="12" customFormat="1" customHeight="1" s="113">
      <c r="A142" s="162" t="n"/>
      <c r="B142" s="136" t="n"/>
      <c r="C142" s="112" t="n"/>
      <c r="D142" s="163" t="n"/>
      <c r="E142" s="162" t="n"/>
      <c r="F142" s="162" t="n"/>
      <c r="G142" s="112" t="n"/>
      <c r="H142" s="162" t="n"/>
      <c r="I142" s="162" t="n"/>
      <c r="J142" s="162" t="n"/>
      <c r="K142" s="163" t="n"/>
      <c r="L142" s="112" t="n"/>
      <c r="M142" s="162" t="n"/>
      <c r="N142" s="163" t="n"/>
      <c r="O142" s="163" t="n"/>
      <c r="P142" s="162" t="n"/>
    </row>
    <row r="143" ht="12" customFormat="1" customHeight="1" s="113">
      <c r="A143" s="136" t="n"/>
      <c r="B143" s="136" t="n"/>
      <c r="C143" s="137" t="n"/>
      <c r="D143" s="138" t="n"/>
      <c r="E143" s="136" t="n"/>
      <c r="F143" s="136" t="n"/>
      <c r="G143" s="137" t="n"/>
      <c r="H143" s="136" t="n"/>
      <c r="I143" s="136" t="n"/>
      <c r="J143" s="136" t="n"/>
      <c r="K143" s="138" t="n"/>
      <c r="L143" s="137" t="n"/>
      <c r="M143" s="136" t="n"/>
      <c r="N143" s="138" t="n"/>
      <c r="O143" s="138" t="n"/>
      <c r="P143" s="136" t="n"/>
    </row>
    <row r="144" ht="12" customFormat="1" customHeight="1" s="113">
      <c r="A144" s="136" t="n"/>
      <c r="B144" s="136" t="n"/>
      <c r="C144" s="137" t="n"/>
      <c r="D144" s="138" t="n"/>
      <c r="E144" s="136" t="n"/>
      <c r="F144" s="136" t="n"/>
      <c r="G144" s="137" t="n"/>
      <c r="H144" s="136" t="n"/>
      <c r="I144" s="136" t="n"/>
      <c r="J144" s="136" t="n"/>
      <c r="K144" s="138" t="n"/>
      <c r="L144" s="137" t="n"/>
      <c r="M144" s="136" t="n"/>
      <c r="N144" s="138" t="n"/>
      <c r="O144" s="138" t="n"/>
      <c r="P144" s="136" t="n"/>
    </row>
    <row r="145">
      <c r="A145" s="187" t="n"/>
      <c r="B145" s="187" t="n"/>
      <c r="C145" s="158" t="n"/>
      <c r="D145" s="159" t="n"/>
      <c r="E145" s="187" t="n"/>
      <c r="F145" s="187" t="n"/>
      <c r="G145" s="158" t="n"/>
      <c r="H145" s="187" t="n"/>
      <c r="I145" s="187" t="n"/>
      <c r="J145" s="187" t="n"/>
      <c r="K145" s="159" t="n"/>
      <c r="L145" s="158" t="n"/>
      <c r="M145" s="187" t="n"/>
      <c r="N145" s="159" t="n"/>
      <c r="O145" s="159" t="n"/>
      <c r="P145" s="187" t="n"/>
    </row>
    <row r="146">
      <c r="A146" s="187" t="n"/>
      <c r="B146" s="187" t="n"/>
      <c r="C146" s="158" t="n"/>
      <c r="D146" s="159" t="n"/>
      <c r="E146" s="187" t="n"/>
      <c r="F146" s="187" t="n"/>
      <c r="G146" s="158" t="n"/>
      <c r="H146" s="187" t="n"/>
      <c r="I146" s="187" t="n"/>
      <c r="J146" s="187" t="n"/>
      <c r="K146" s="159" t="n"/>
      <c r="L146" s="158" t="n"/>
      <c r="M146" s="187" t="n"/>
      <c r="N146" s="159" t="n"/>
      <c r="O146" s="159" t="n"/>
      <c r="P146" s="187" t="n"/>
    </row>
    <row r="147" customFormat="1" s="192">
      <c r="A147" s="187" t="n"/>
      <c r="B147" s="187" t="n"/>
      <c r="C147" s="158" t="n"/>
      <c r="D147" s="159" t="n"/>
      <c r="E147" s="187" t="n"/>
      <c r="F147" s="187" t="n"/>
      <c r="G147" s="158" t="n"/>
      <c r="H147" s="187" t="n"/>
      <c r="I147" s="187" t="n"/>
      <c r="J147" s="187" t="n"/>
      <c r="K147" s="159" t="n"/>
      <c r="L147" s="158" t="n"/>
      <c r="M147" s="187" t="n"/>
      <c r="N147" s="159" t="n"/>
      <c r="O147" s="159" t="n"/>
      <c r="P147" s="187" t="n"/>
    </row>
    <row r="148">
      <c r="A148" s="187" t="n"/>
      <c r="B148" s="187" t="n"/>
      <c r="C148" s="158" t="n"/>
      <c r="D148" s="159" t="n"/>
      <c r="E148" s="187" t="n"/>
      <c r="F148" s="187" t="n"/>
      <c r="G148" s="158" t="n"/>
      <c r="H148" s="187" t="n"/>
      <c r="I148" s="187" t="n"/>
      <c r="J148" s="187" t="n"/>
      <c r="K148" s="159" t="n"/>
      <c r="L148" s="158" t="n"/>
      <c r="M148" s="187" t="n"/>
      <c r="N148" s="159" t="n"/>
      <c r="O148" s="159" t="n"/>
      <c r="P148" s="187" t="n"/>
    </row>
    <row r="149">
      <c r="A149" s="161" t="n"/>
      <c r="B149" s="187" t="n"/>
      <c r="C149" s="134" t="n"/>
      <c r="D149" s="135" t="n"/>
      <c r="E149" s="161" t="n"/>
      <c r="F149" s="161" t="n"/>
      <c r="G149" s="134" t="n"/>
      <c r="H149" s="161" t="n"/>
      <c r="I149" s="161" t="n"/>
      <c r="J149" s="161" t="n"/>
      <c r="K149" s="135" t="n"/>
      <c r="L149" s="134" t="n"/>
      <c r="M149" s="161" t="n"/>
      <c r="N149" s="135" t="n"/>
      <c r="O149" s="135" t="n"/>
      <c r="P149" s="161" t="n"/>
    </row>
    <row r="150">
      <c r="A150" s="187" t="n"/>
      <c r="B150" s="187" t="n"/>
      <c r="C150" s="158" t="n"/>
      <c r="D150" s="159" t="n"/>
      <c r="E150" s="187" t="n"/>
      <c r="F150" s="187" t="n"/>
      <c r="G150" s="158" t="n"/>
      <c r="H150" s="187" t="n"/>
      <c r="I150" s="187" t="n"/>
      <c r="J150" s="187" t="n"/>
      <c r="K150" s="159" t="n"/>
      <c r="L150" s="158" t="n"/>
      <c r="M150" s="187" t="n"/>
      <c r="N150" s="159" t="n"/>
      <c r="O150" s="159" t="n"/>
      <c r="P150" s="187" t="n"/>
    </row>
    <row r="151">
      <c r="A151" s="187" t="n"/>
      <c r="B151" s="187" t="n"/>
      <c r="C151" s="158" t="n"/>
      <c r="D151" s="135" t="n"/>
      <c r="E151" s="187" t="n"/>
      <c r="F151" s="187" t="n"/>
      <c r="G151" s="158" t="n"/>
      <c r="H151" s="187" t="n"/>
      <c r="I151" s="187" t="n"/>
      <c r="J151" s="187" t="n"/>
      <c r="K151" s="159" t="n"/>
      <c r="L151" s="158" t="n"/>
      <c r="M151" s="187" t="n"/>
      <c r="N151" s="159" t="n"/>
      <c r="O151" s="159" t="n"/>
      <c r="P151" s="187" t="n"/>
    </row>
    <row r="152">
      <c r="A152" s="194" t="n"/>
      <c r="B152" s="187" t="n"/>
      <c r="C152" s="180" t="n"/>
      <c r="D152" s="181" t="n"/>
      <c r="E152" s="194" t="n"/>
      <c r="F152" s="194" t="n"/>
      <c r="G152" s="180" t="n"/>
      <c r="H152" s="194" t="n"/>
      <c r="I152" s="194" t="n"/>
      <c r="J152" s="194" t="n"/>
      <c r="K152" s="181" t="n"/>
      <c r="L152" s="180" t="n"/>
      <c r="M152" s="194" t="n"/>
      <c r="N152" s="181" t="n"/>
      <c r="O152" s="181" t="n"/>
      <c r="P152" s="194" t="n"/>
    </row>
    <row r="153">
      <c r="A153" s="187" t="n"/>
      <c r="B153" s="187" t="n"/>
      <c r="C153" s="158" t="n"/>
      <c r="D153" s="159" t="n"/>
      <c r="E153" s="187" t="n"/>
      <c r="F153" s="187" t="n"/>
      <c r="G153" s="158" t="n"/>
      <c r="H153" s="187" t="n"/>
      <c r="I153" s="187" t="n"/>
      <c r="J153" s="187" t="n"/>
      <c r="K153" s="159" t="n"/>
      <c r="L153" s="158" t="n"/>
      <c r="M153" s="187" t="n"/>
      <c r="N153" s="159" t="n"/>
      <c r="O153" s="159" t="n"/>
      <c r="P153" s="187" t="n"/>
    </row>
    <row r="154">
      <c r="A154" s="161" t="n"/>
      <c r="B154" s="187" t="n"/>
      <c r="C154" s="134" t="n"/>
      <c r="D154" s="135" t="n"/>
      <c r="E154" s="161" t="n"/>
      <c r="F154" s="161" t="n"/>
      <c r="G154" s="134" t="n"/>
      <c r="H154" s="161" t="n"/>
      <c r="I154" s="161" t="n"/>
      <c r="J154" s="161" t="n"/>
      <c r="K154" s="135" t="n"/>
      <c r="L154" s="134" t="n"/>
      <c r="M154" s="161" t="n"/>
      <c r="N154" s="135" t="n"/>
      <c r="O154" s="135" t="n"/>
      <c r="P154" s="161" t="n"/>
    </row>
    <row r="155">
      <c r="A155" s="161" t="n"/>
      <c r="B155" s="187" t="n"/>
      <c r="C155" s="134" t="n"/>
      <c r="D155" s="135" t="n"/>
      <c r="E155" s="161" t="n"/>
      <c r="F155" s="161" t="n"/>
      <c r="G155" s="134" t="n"/>
      <c r="H155" s="161" t="n"/>
      <c r="I155" s="161" t="n"/>
      <c r="J155" s="161" t="n"/>
      <c r="K155" s="135" t="n"/>
      <c r="L155" s="134" t="n"/>
      <c r="M155" s="161" t="n"/>
      <c r="N155" s="135" t="n"/>
      <c r="O155" s="135" t="n"/>
      <c r="P155" s="161" t="n"/>
    </row>
    <row r="156">
      <c r="A156" s="187" t="n"/>
      <c r="B156" s="187" t="n"/>
      <c r="C156" s="158" t="n"/>
      <c r="D156" s="159" t="n"/>
      <c r="E156" s="187" t="n"/>
      <c r="F156" s="187" t="n"/>
      <c r="G156" s="158" t="n"/>
      <c r="H156" s="187" t="n"/>
      <c r="I156" s="187" t="n"/>
      <c r="J156" s="187" t="n"/>
      <c r="K156" s="159" t="n"/>
      <c r="L156" s="158" t="n"/>
      <c r="M156" s="187" t="n"/>
      <c r="N156" s="159" t="n"/>
      <c r="O156" s="159" t="n"/>
      <c r="P156" s="187" t="n"/>
    </row>
    <row r="157">
      <c r="A157" s="187" t="n"/>
      <c r="B157" s="187" t="n"/>
      <c r="C157" s="158" t="n"/>
      <c r="D157" s="158" t="n"/>
      <c r="E157" s="187" t="n"/>
      <c r="F157" s="187" t="n"/>
      <c r="G157" s="158" t="n"/>
      <c r="H157" s="187" t="n"/>
      <c r="I157" s="187" t="n"/>
      <c r="J157" s="187" t="n"/>
      <c r="K157" s="159" t="n"/>
      <c r="L157" s="158" t="n"/>
      <c r="M157" s="187" t="n"/>
      <c r="N157" s="158" t="n"/>
      <c r="O157" s="159" t="n"/>
      <c r="P157" s="187" t="n"/>
    </row>
    <row r="158">
      <c r="A158" s="161" t="n"/>
      <c r="B158" s="187" t="n"/>
      <c r="C158" s="134" t="n"/>
      <c r="D158" s="135" t="n"/>
      <c r="E158" s="161" t="n"/>
      <c r="F158" s="161" t="n"/>
      <c r="G158" s="134" t="n"/>
      <c r="H158" s="161" t="n"/>
      <c r="I158" s="161" t="n"/>
      <c r="J158" s="161" t="n"/>
      <c r="K158" s="135" t="n"/>
      <c r="L158" s="134" t="n"/>
      <c r="M158" s="161" t="n"/>
      <c r="N158" s="135" t="n"/>
      <c r="O158" s="135" t="n"/>
      <c r="P158" s="161" t="n"/>
    </row>
    <row r="159">
      <c r="A159" s="194" t="n"/>
      <c r="B159" s="187" t="n"/>
      <c r="C159" s="178" t="n"/>
      <c r="D159" s="179" t="n"/>
      <c r="E159" s="177" t="n"/>
      <c r="F159" s="177" t="n"/>
      <c r="G159" s="178" t="n"/>
      <c r="H159" s="177" t="n"/>
      <c r="I159" s="177" t="n"/>
      <c r="J159" s="177" t="n"/>
      <c r="K159" s="179" t="n"/>
      <c r="L159" s="178" t="n"/>
      <c r="M159" s="177" t="n"/>
      <c r="N159" s="179" t="n"/>
      <c r="O159" s="179" t="n"/>
      <c r="P159" s="177" t="n"/>
    </row>
    <row r="160">
      <c r="A160" s="187" t="n"/>
      <c r="B160" s="187" t="n"/>
      <c r="C160" s="134" t="n"/>
      <c r="D160" s="135" t="n"/>
      <c r="E160" s="161" t="n"/>
      <c r="F160" s="161" t="n"/>
      <c r="G160" s="134" t="n"/>
      <c r="H160" s="161" t="n"/>
      <c r="I160" s="161" t="n"/>
      <c r="J160" s="161" t="n"/>
      <c r="K160" s="135" t="n"/>
      <c r="L160" s="134" t="n"/>
      <c r="M160" s="161" t="n"/>
      <c r="N160" s="135" t="n"/>
      <c r="O160" s="135" t="n"/>
      <c r="P160" s="161" t="n"/>
    </row>
    <row r="161">
      <c r="A161" s="187" t="n"/>
      <c r="B161" s="187" t="n"/>
      <c r="C161" s="134" t="n"/>
      <c r="D161" s="159" t="n"/>
      <c r="E161" s="161" t="n"/>
      <c r="F161" s="161" t="n"/>
      <c r="G161" s="134" t="n"/>
      <c r="H161" s="161" t="n"/>
      <c r="I161" s="161" t="n"/>
      <c r="J161" s="161" t="n"/>
      <c r="K161" s="135" t="n"/>
      <c r="L161" s="134" t="n"/>
      <c r="M161" s="161" t="n"/>
      <c r="N161" s="135" t="n"/>
      <c r="O161" s="135" t="n"/>
      <c r="P161" s="161" t="n"/>
    </row>
    <row r="162">
      <c r="A162" s="194" t="n"/>
      <c r="B162" s="187" t="n"/>
      <c r="C162" s="180" t="n"/>
      <c r="D162" s="181" t="n"/>
      <c r="E162" s="194" t="n"/>
      <c r="F162" s="194" t="n"/>
      <c r="G162" s="180" t="n"/>
      <c r="H162" s="194" t="n"/>
      <c r="I162" s="194" t="n"/>
      <c r="J162" s="194" t="n"/>
      <c r="K162" s="181" t="n"/>
      <c r="L162" s="180" t="n"/>
      <c r="M162" s="194" t="n"/>
      <c r="N162" s="181" t="n"/>
      <c r="O162" s="181" t="n"/>
      <c r="P162" s="194" t="n"/>
    </row>
    <row r="163">
      <c r="A163" s="187" t="n"/>
      <c r="B163" s="187" t="n"/>
      <c r="C163" s="158" t="n"/>
      <c r="D163" s="159" t="n"/>
      <c r="E163" s="187" t="n"/>
      <c r="F163" s="187" t="n"/>
      <c r="G163" s="158" t="n"/>
      <c r="H163" s="187" t="n"/>
      <c r="I163" s="187" t="n"/>
      <c r="J163" s="187" t="n"/>
      <c r="K163" s="159" t="n"/>
      <c r="L163" s="158" t="n"/>
      <c r="M163" s="187" t="n"/>
      <c r="N163" s="159" t="n"/>
      <c r="O163" s="159" t="n"/>
      <c r="P163" s="187" t="n"/>
    </row>
    <row r="164">
      <c r="A164" s="187" t="n"/>
      <c r="B164" s="187" t="n"/>
      <c r="C164" s="134" t="n"/>
      <c r="D164" s="135" t="n"/>
      <c r="E164" s="161" t="n"/>
      <c r="F164" s="161" t="n"/>
      <c r="G164" s="134" t="n"/>
      <c r="H164" s="161" t="n"/>
      <c r="I164" s="161" t="n"/>
      <c r="J164" s="161" t="n"/>
      <c r="K164" s="135" t="n"/>
      <c r="L164" s="134" t="n"/>
      <c r="M164" s="161" t="n"/>
      <c r="N164" s="135" t="n"/>
      <c r="O164" s="135" t="n"/>
      <c r="P164" s="161" t="n"/>
    </row>
    <row r="165">
      <c r="A165" s="187" t="n"/>
      <c r="B165" s="187" t="n"/>
      <c r="C165" s="158" t="n"/>
      <c r="D165" s="159" t="n"/>
      <c r="E165" s="187" t="n"/>
      <c r="F165" s="187" t="n"/>
      <c r="G165" s="158" t="n"/>
      <c r="H165" s="187" t="n"/>
      <c r="I165" s="187" t="n"/>
      <c r="J165" s="187" t="n"/>
      <c r="K165" s="159" t="n"/>
      <c r="L165" s="158" t="n"/>
      <c r="M165" s="187" t="n"/>
      <c r="N165" s="159" t="n"/>
      <c r="O165" s="159" t="n"/>
      <c r="P165" s="187" t="n"/>
    </row>
    <row r="166">
      <c r="A166" s="187" t="n"/>
      <c r="B166" s="187" t="n"/>
      <c r="C166" s="158" t="n"/>
      <c r="D166" s="159" t="n"/>
      <c r="E166" s="187" t="n"/>
      <c r="F166" s="187" t="n"/>
      <c r="G166" s="158" t="n"/>
      <c r="H166" s="187" t="n"/>
      <c r="I166" s="187" t="n"/>
      <c r="J166" s="187" t="n"/>
      <c r="K166" s="159" t="n"/>
      <c r="L166" s="158" t="n"/>
      <c r="M166" s="187" t="n"/>
      <c r="N166" s="159" t="n"/>
      <c r="O166" s="159" t="n"/>
      <c r="P166" s="187" t="n"/>
    </row>
    <row r="167">
      <c r="A167" s="161" t="n"/>
      <c r="B167" s="187" t="n"/>
      <c r="C167" s="134" t="n"/>
      <c r="D167" s="135" t="n"/>
      <c r="E167" s="161" t="n"/>
      <c r="F167" s="161" t="n"/>
      <c r="G167" s="134" t="n"/>
      <c r="H167" s="161" t="n"/>
      <c r="I167" s="161" t="n"/>
      <c r="J167" s="161" t="n"/>
      <c r="K167" s="135" t="n"/>
      <c r="L167" s="134" t="n"/>
      <c r="M167" s="161" t="n"/>
      <c r="N167" s="135" t="n"/>
      <c r="O167" s="135" t="n"/>
      <c r="P167" s="161" t="n"/>
    </row>
    <row r="168">
      <c r="A168" s="194" t="n"/>
      <c r="B168" s="187" t="n"/>
      <c r="C168" s="180" t="n"/>
      <c r="D168" s="181" t="n"/>
      <c r="E168" s="194" t="n"/>
      <c r="F168" s="194" t="n"/>
      <c r="G168" s="180" t="n"/>
      <c r="H168" s="194" t="n"/>
      <c r="I168" s="194" t="n"/>
      <c r="J168" s="194" t="n"/>
      <c r="K168" s="181" t="n"/>
      <c r="L168" s="180" t="n"/>
      <c r="M168" s="194" t="n"/>
      <c r="N168" s="181" t="n"/>
      <c r="O168" s="181" t="n"/>
      <c r="P168" s="194" t="n"/>
    </row>
    <row r="169">
      <c r="A169" s="187" t="n"/>
      <c r="B169" s="187" t="n"/>
      <c r="C169" s="158" t="n"/>
      <c r="D169" s="159" t="n"/>
      <c r="E169" s="187" t="n"/>
      <c r="F169" s="187" t="n"/>
      <c r="G169" s="158" t="n"/>
      <c r="H169" s="187" t="n"/>
      <c r="I169" s="187" t="n"/>
      <c r="J169" s="187" t="n"/>
      <c r="K169" s="159" t="n"/>
      <c r="L169" s="158" t="n"/>
      <c r="M169" s="187" t="n"/>
      <c r="N169" s="159" t="n"/>
      <c r="O169" s="159" t="n"/>
      <c r="P169" s="187" t="n"/>
    </row>
    <row r="170">
      <c r="A170" s="194" t="n"/>
      <c r="B170" s="187" t="n"/>
      <c r="C170" s="180" t="n"/>
      <c r="D170" s="181" t="n"/>
      <c r="E170" s="194" t="n"/>
      <c r="F170" s="194" t="n"/>
      <c r="G170" s="180" t="n"/>
      <c r="H170" s="194" t="n"/>
      <c r="I170" s="194" t="n"/>
      <c r="J170" s="194" t="n"/>
      <c r="K170" s="181" t="n"/>
      <c r="L170" s="178" t="n"/>
      <c r="M170" s="194" t="n"/>
      <c r="N170" s="181" t="n"/>
      <c r="O170" s="181" t="n"/>
      <c r="P170" s="194" t="n"/>
    </row>
    <row r="171" customFormat="1" s="143">
      <c r="A171" s="187" t="n"/>
      <c r="B171" s="187" t="n"/>
      <c r="C171" s="134" t="n"/>
      <c r="D171" s="135" t="n"/>
      <c r="E171" s="161" t="n"/>
      <c r="F171" s="161" t="n"/>
      <c r="G171" s="134" t="n"/>
      <c r="H171" s="161" t="n"/>
      <c r="I171" s="161" t="n"/>
      <c r="J171" s="161" t="n"/>
      <c r="K171" s="135" t="n"/>
      <c r="L171" s="134" t="n"/>
      <c r="M171" s="161" t="n"/>
      <c r="N171" s="135" t="n"/>
      <c r="O171" s="135" t="n"/>
      <c r="P171" s="161" t="n"/>
    </row>
    <row r="172">
      <c r="A172" s="187" t="n"/>
      <c r="B172" s="187" t="n"/>
      <c r="C172" s="158" t="n"/>
      <c r="D172" s="159" t="n"/>
      <c r="E172" s="187" t="n"/>
      <c r="F172" s="187" t="n"/>
      <c r="G172" s="158" t="n"/>
      <c r="H172" s="187" t="n"/>
      <c r="I172" s="187" t="n"/>
      <c r="J172" s="187" t="n"/>
      <c r="K172" s="159" t="n"/>
      <c r="L172" s="158" t="n"/>
      <c r="M172" s="187" t="n"/>
      <c r="N172" s="159" t="n"/>
      <c r="O172" s="159" t="n"/>
      <c r="P172" s="187" t="n"/>
    </row>
    <row r="173">
      <c r="A173" s="187" t="n"/>
      <c r="B173" s="187" t="n"/>
      <c r="C173" s="134" t="n"/>
      <c r="D173" s="135" t="n"/>
      <c r="E173" s="161" t="n"/>
      <c r="F173" s="161" t="n"/>
      <c r="G173" s="134" t="n"/>
      <c r="H173" s="161" t="n"/>
      <c r="I173" s="161" t="n"/>
      <c r="J173" s="161" t="n"/>
      <c r="K173" s="135" t="n"/>
      <c r="L173" s="134" t="n"/>
      <c r="M173" s="161" t="n"/>
      <c r="N173" s="135" t="n"/>
      <c r="O173" s="135" t="n"/>
      <c r="P173" s="161" t="n"/>
    </row>
    <row r="174" customFormat="1" s="142">
      <c r="A174" s="161" t="n"/>
      <c r="B174" s="187" t="n"/>
      <c r="C174" s="134" t="n"/>
      <c r="D174" s="135" t="n"/>
      <c r="E174" s="161" t="n"/>
      <c r="F174" s="161" t="n"/>
      <c r="G174" s="134" t="n"/>
      <c r="H174" s="161" t="n"/>
      <c r="I174" s="161" t="n"/>
      <c r="J174" s="161" t="n"/>
      <c r="K174" s="135" t="n"/>
      <c r="L174" s="134" t="n"/>
      <c r="M174" s="161" t="n"/>
      <c r="N174" s="135" t="n"/>
      <c r="O174" s="135" t="n"/>
      <c r="P174" s="161" t="n"/>
    </row>
    <row r="175">
      <c r="A175" s="187" t="n"/>
      <c r="B175" s="187" t="n"/>
      <c r="C175" s="158" t="n"/>
      <c r="D175" s="159" t="n"/>
      <c r="E175" s="187" t="n"/>
      <c r="F175" s="187" t="n"/>
      <c r="G175" s="158" t="n"/>
      <c r="H175" s="187" t="n"/>
      <c r="I175" s="187" t="n"/>
      <c r="J175" s="187" t="n"/>
      <c r="K175" s="159" t="n"/>
      <c r="L175" s="158" t="n"/>
      <c r="M175" s="187" t="n"/>
      <c r="N175" s="159" t="n"/>
      <c r="O175" s="159" t="n"/>
      <c r="P175" s="187" t="n"/>
    </row>
    <row r="176">
      <c r="A176" s="187" t="n"/>
      <c r="B176" s="187" t="n"/>
      <c r="C176" s="158" t="n"/>
      <c r="D176" s="159" t="n"/>
      <c r="E176" s="187" t="n"/>
      <c r="F176" s="187" t="n"/>
      <c r="G176" s="158" t="n"/>
      <c r="H176" s="187" t="n"/>
      <c r="I176" s="187" t="n"/>
      <c r="J176" s="187" t="n"/>
      <c r="K176" s="159" t="n"/>
      <c r="L176" s="158" t="n"/>
      <c r="M176" s="187" t="n"/>
      <c r="N176" s="159" t="n"/>
      <c r="O176" s="159" t="n"/>
      <c r="P176" s="187" t="n"/>
    </row>
    <row r="177" customFormat="1" s="143">
      <c r="A177" s="187" t="n"/>
      <c r="B177" s="187" t="n"/>
      <c r="C177" s="134" t="n"/>
      <c r="D177" s="135" t="n"/>
      <c r="E177" s="161" t="n"/>
      <c r="F177" s="161" t="n"/>
      <c r="G177" s="134" t="n"/>
      <c r="H177" s="161" t="n"/>
      <c r="I177" s="161" t="n"/>
      <c r="J177" s="161" t="n"/>
      <c r="K177" s="135" t="n"/>
      <c r="L177" s="134" t="n"/>
      <c r="M177" s="161" t="n"/>
      <c r="N177" s="135" t="n"/>
      <c r="O177" s="135" t="n"/>
      <c r="P177" s="187" t="n"/>
    </row>
    <row r="178">
      <c r="A178" s="187" t="n"/>
      <c r="B178" s="187" t="n"/>
      <c r="C178" s="134" t="n"/>
      <c r="D178" s="135" t="n"/>
      <c r="E178" s="161" t="n"/>
      <c r="F178" s="161" t="n"/>
      <c r="G178" s="134" t="n"/>
      <c r="H178" s="161" t="n"/>
      <c r="I178" s="161" t="n"/>
      <c r="J178" s="161" t="n"/>
      <c r="K178" s="135" t="n"/>
      <c r="L178" s="134" t="n"/>
      <c r="M178" s="161" t="n"/>
      <c r="N178" s="135" t="n"/>
      <c r="O178" s="135" t="n"/>
      <c r="P178" s="161" t="n"/>
    </row>
    <row r="179">
      <c r="A179" s="161" t="n"/>
      <c r="B179" s="187" t="n"/>
      <c r="C179" s="134" t="n"/>
      <c r="D179" s="135" t="n"/>
      <c r="E179" s="161" t="n"/>
      <c r="F179" s="161" t="n"/>
      <c r="G179" s="134" t="n"/>
      <c r="H179" s="161" t="n"/>
      <c r="I179" s="161" t="n"/>
      <c r="J179" s="161" t="n"/>
      <c r="K179" s="135" t="n"/>
      <c r="L179" s="134" t="n"/>
      <c r="M179" s="161" t="n"/>
      <c r="N179" s="135" t="n"/>
      <c r="O179" s="135" t="n"/>
      <c r="P179" s="161" t="n"/>
    </row>
    <row r="180">
      <c r="A180" s="187" t="n"/>
      <c r="B180" s="187" t="n"/>
      <c r="C180" s="134" t="n"/>
      <c r="D180" s="135" t="n"/>
      <c r="E180" s="161" t="n"/>
      <c r="F180" s="161" t="n"/>
      <c r="G180" s="134" t="n"/>
      <c r="H180" s="161" t="n"/>
      <c r="I180" s="161" t="n"/>
      <c r="J180" s="161" t="n"/>
      <c r="K180" s="135" t="n"/>
      <c r="L180" s="134" t="n"/>
      <c r="M180" s="161" t="n"/>
      <c r="N180" s="135" t="n"/>
      <c r="O180" s="135" t="n"/>
      <c r="P180" s="161" t="n"/>
    </row>
    <row r="181">
      <c r="A181" s="183" t="n"/>
      <c r="B181" s="187" t="n"/>
      <c r="C181" s="184" t="n"/>
      <c r="D181" s="185" t="n"/>
      <c r="E181" s="186" t="n"/>
      <c r="F181" s="186" t="n"/>
      <c r="G181" s="184" t="n"/>
      <c r="H181" s="186" t="n"/>
      <c r="I181" s="186" t="n"/>
      <c r="J181" s="186" t="n"/>
      <c r="K181" s="185" t="n"/>
      <c r="L181" s="184" t="n"/>
      <c r="M181" s="186" t="n"/>
      <c r="N181" s="185" t="n"/>
      <c r="O181" s="185" t="n"/>
      <c r="P181" s="186" t="n"/>
    </row>
    <row r="182">
      <c r="A182" s="187" t="n"/>
      <c r="B182" s="187" t="n"/>
      <c r="C182" s="158" t="n"/>
      <c r="D182" s="159" t="n"/>
      <c r="E182" s="187" t="n"/>
      <c r="F182" s="187" t="n"/>
      <c r="G182" s="158" t="n"/>
      <c r="H182" s="187" t="n"/>
      <c r="I182" s="187" t="n"/>
      <c r="J182" s="187" t="n"/>
      <c r="K182" s="159" t="n"/>
      <c r="L182" s="158" t="n"/>
      <c r="M182" s="187" t="n"/>
      <c r="N182" s="159" t="n"/>
      <c r="O182" s="159" t="n"/>
      <c r="P182" s="187" t="n"/>
    </row>
    <row r="183">
      <c r="A183" s="187" t="n"/>
      <c r="B183" s="187" t="n"/>
      <c r="C183" s="158" t="n"/>
      <c r="D183" s="159" t="n"/>
      <c r="E183" s="187" t="n"/>
      <c r="F183" s="187" t="n"/>
      <c r="G183" s="158" t="n"/>
      <c r="H183" s="187" t="n"/>
      <c r="I183" s="187" t="n"/>
      <c r="J183" s="187" t="n"/>
      <c r="K183" s="159" t="n"/>
      <c r="L183" s="158" t="n"/>
      <c r="M183" s="187" t="n"/>
      <c r="N183" s="159" t="n"/>
      <c r="O183" s="159" t="n"/>
      <c r="P183" s="187" t="n"/>
    </row>
    <row r="184">
      <c r="A184" s="194" t="n"/>
      <c r="B184" s="187" t="n"/>
      <c r="C184" s="180" t="n"/>
      <c r="D184" s="181" t="n"/>
      <c r="E184" s="194" t="n"/>
      <c r="F184" s="194" t="n"/>
      <c r="G184" s="180" t="n"/>
      <c r="H184" s="194" t="n"/>
      <c r="I184" s="194" t="n"/>
      <c r="J184" s="194" t="n"/>
      <c r="K184" s="181" t="n"/>
      <c r="L184" s="180" t="n"/>
      <c r="M184" s="194" t="n"/>
      <c r="N184" s="181" t="n"/>
      <c r="O184" s="181" t="n"/>
      <c r="P184" s="194" t="n"/>
    </row>
    <row r="185">
      <c r="A185" s="187" t="n"/>
      <c r="B185" s="187" t="n"/>
      <c r="C185" s="158" t="n"/>
      <c r="D185" s="159" t="n"/>
      <c r="E185" s="187" t="n"/>
      <c r="F185" s="187" t="n"/>
      <c r="G185" s="158" t="n"/>
      <c r="H185" s="187" t="n"/>
      <c r="I185" s="187" t="n"/>
      <c r="J185" s="187" t="n"/>
      <c r="K185" s="159" t="n"/>
      <c r="L185" s="159" t="n"/>
      <c r="M185" s="187" t="n"/>
      <c r="N185" s="159" t="n"/>
      <c r="O185" s="159" t="n"/>
      <c r="P185" s="187" t="n"/>
    </row>
    <row r="186">
      <c r="A186" s="187" t="n"/>
      <c r="B186" s="187" t="n"/>
      <c r="C186" s="158" t="n"/>
      <c r="D186" s="135" t="n"/>
      <c r="E186" s="161" t="n"/>
      <c r="F186" s="161" t="n"/>
      <c r="G186" s="134" t="n"/>
      <c r="H186" s="161" t="n"/>
      <c r="I186" s="161" t="n"/>
      <c r="J186" s="161" t="n"/>
      <c r="K186" s="135" t="n"/>
      <c r="L186" s="134" t="n"/>
      <c r="M186" s="161" t="n"/>
      <c r="N186" s="135" t="n"/>
      <c r="O186" s="135" t="n"/>
      <c r="P186" s="161" t="n"/>
    </row>
    <row r="187">
      <c r="A187" s="161" t="n"/>
      <c r="B187" s="187" t="n"/>
      <c r="C187" s="134" t="n"/>
      <c r="D187" s="135" t="n"/>
      <c r="E187" s="161" t="n"/>
      <c r="F187" s="161" t="n"/>
      <c r="G187" s="134" t="n"/>
      <c r="H187" s="161" t="n"/>
      <c r="I187" s="161" t="n"/>
      <c r="J187" s="161" t="n"/>
      <c r="K187" s="135" t="n"/>
      <c r="L187" s="134" t="n"/>
      <c r="M187" s="161" t="n"/>
      <c r="N187" s="135" t="n"/>
      <c r="O187" s="135" t="n"/>
      <c r="P187" s="161" t="n"/>
    </row>
    <row r="188">
      <c r="A188" s="187" t="n"/>
      <c r="B188" s="187" t="n"/>
      <c r="C188" s="184" t="n"/>
      <c r="D188" s="159" t="n"/>
      <c r="E188" s="187" t="n"/>
      <c r="F188" s="187" t="n"/>
      <c r="G188" s="158" t="n"/>
      <c r="H188" s="187" t="n"/>
      <c r="I188" s="187" t="n"/>
      <c r="J188" s="187" t="n"/>
      <c r="K188" s="159" t="n"/>
      <c r="L188" s="159" t="n"/>
      <c r="M188" s="187" t="n"/>
      <c r="N188" s="159" t="n"/>
      <c r="O188" s="159" t="n"/>
      <c r="P188" s="187" t="n"/>
    </row>
    <row r="189">
      <c r="A189" s="187" t="n"/>
      <c r="B189" s="187" t="n"/>
      <c r="C189" s="158" t="n"/>
      <c r="D189" s="159" t="n"/>
      <c r="E189" s="187" t="n"/>
      <c r="F189" s="187" t="n"/>
      <c r="G189" s="158" t="n"/>
      <c r="H189" s="187" t="n"/>
      <c r="I189" s="187" t="n"/>
      <c r="J189" s="187" t="n"/>
      <c r="K189" s="159" t="n"/>
      <c r="L189" s="158" t="n"/>
      <c r="M189" s="187" t="n"/>
      <c r="N189" s="159" t="n"/>
      <c r="O189" s="159" t="n"/>
      <c r="P189" s="187" t="n"/>
    </row>
    <row r="190">
      <c r="A190" s="187" t="n"/>
      <c r="B190" s="187" t="n"/>
      <c r="C190" s="158" t="n"/>
      <c r="D190" s="158" t="n"/>
      <c r="E190" s="187" t="n"/>
      <c r="F190" s="158" t="n"/>
      <c r="G190" s="158" t="n"/>
      <c r="H190" s="187" t="n"/>
      <c r="I190" s="187" t="n"/>
      <c r="J190" s="187" t="n"/>
      <c r="K190" s="159" t="n"/>
      <c r="L190" s="158" t="n"/>
      <c r="M190" s="187" t="n"/>
      <c r="N190" s="158" t="n"/>
      <c r="O190" s="159" t="n"/>
      <c r="P190" s="187" t="n"/>
    </row>
    <row r="191">
      <c r="A191" s="187" t="n"/>
      <c r="B191" s="187" t="n"/>
      <c r="C191" s="158" t="n"/>
      <c r="D191" s="159" t="n"/>
      <c r="E191" s="187" t="n"/>
      <c r="F191" s="187" t="n"/>
      <c r="G191" s="158" t="n"/>
      <c r="H191" s="187" t="n"/>
      <c r="I191" s="187" t="n"/>
      <c r="J191" s="187" t="n"/>
      <c r="K191" s="159" t="n"/>
      <c r="L191" s="158" t="n"/>
      <c r="M191" s="187" t="n"/>
      <c r="N191" s="159" t="n"/>
      <c r="O191" s="159" t="n"/>
      <c r="P191" s="187" t="n"/>
    </row>
    <row r="192">
      <c r="A192" s="161" t="n"/>
      <c r="B192" s="187" t="n"/>
      <c r="C192" s="134" t="n"/>
      <c r="D192" s="135" t="n"/>
      <c r="E192" s="161" t="n"/>
      <c r="F192" s="161" t="n"/>
      <c r="G192" s="134" t="n"/>
      <c r="H192" s="161" t="n"/>
      <c r="I192" s="161" t="n"/>
      <c r="J192" s="161" t="n"/>
      <c r="K192" s="135" t="n"/>
      <c r="L192" s="134" t="n"/>
      <c r="M192" s="161" t="n"/>
      <c r="N192" s="135" t="n"/>
      <c r="O192" s="135" t="n"/>
      <c r="P192" s="161" t="n"/>
    </row>
    <row r="193">
      <c r="A193" s="194" t="n"/>
      <c r="B193" s="187" t="n"/>
      <c r="C193" s="178" t="n"/>
      <c r="D193" s="181" t="n"/>
      <c r="E193" s="194" t="n"/>
      <c r="F193" s="194" t="n"/>
      <c r="G193" s="180" t="n"/>
      <c r="H193" s="194" t="n"/>
      <c r="I193" s="194" t="n"/>
      <c r="J193" s="194" t="n"/>
      <c r="K193" s="181" t="n"/>
      <c r="L193" s="180" t="n"/>
      <c r="M193" s="194" t="n"/>
      <c r="N193" s="181" t="n"/>
      <c r="O193" s="181" t="n"/>
      <c r="P193" s="194" t="n"/>
    </row>
    <row r="194">
      <c r="A194" s="187" t="n"/>
      <c r="B194" s="187" t="n"/>
      <c r="C194" s="158" t="n"/>
      <c r="D194" s="159" t="n"/>
      <c r="E194" s="187" t="n"/>
      <c r="F194" s="187" t="n"/>
      <c r="G194" s="158" t="n"/>
      <c r="H194" s="187" t="n"/>
      <c r="I194" s="187" t="n"/>
      <c r="J194" s="187" t="n"/>
      <c r="K194" s="159" t="n"/>
      <c r="L194" s="158" t="n"/>
      <c r="M194" s="187" t="n"/>
      <c r="N194" s="159" t="n"/>
      <c r="O194" s="159" t="n"/>
      <c r="P194" s="187" t="n"/>
    </row>
    <row r="195">
      <c r="A195" s="187" t="n"/>
      <c r="B195" s="187" t="n"/>
      <c r="C195" s="134" t="n"/>
      <c r="D195" s="135" t="n"/>
      <c r="E195" s="161" t="n"/>
      <c r="F195" s="161" t="n"/>
      <c r="G195" s="134" t="n"/>
      <c r="H195" s="161" t="n"/>
      <c r="I195" s="161" t="n"/>
      <c r="J195" s="161" t="n"/>
      <c r="K195" s="135" t="n"/>
      <c r="L195" s="134" t="n"/>
      <c r="M195" s="161" t="n"/>
      <c r="N195" s="135" t="n"/>
      <c r="O195" s="135" t="n"/>
      <c r="P195" s="161" t="n"/>
    </row>
    <row r="196">
      <c r="A196" s="187" t="n"/>
      <c r="B196" s="187" t="n"/>
      <c r="C196" s="158" t="n"/>
      <c r="D196" s="159" t="n"/>
      <c r="E196" s="187" t="n"/>
      <c r="F196" s="187" t="n"/>
      <c r="G196" s="158" t="n"/>
      <c r="H196" s="187" t="n"/>
      <c r="I196" s="187" t="n"/>
      <c r="J196" s="187" t="n"/>
      <c r="K196" s="159" t="n"/>
      <c r="L196" s="158" t="n"/>
      <c r="M196" s="187" t="n"/>
      <c r="N196" s="159" t="n"/>
      <c r="O196" s="159" t="n"/>
      <c r="P196" s="187" t="n"/>
    </row>
    <row r="197">
      <c r="A197" s="161" t="n"/>
      <c r="B197" s="187" t="n"/>
      <c r="C197" s="134" t="n"/>
      <c r="D197" s="135" t="n"/>
      <c r="E197" s="161" t="n"/>
      <c r="F197" s="161" t="n"/>
      <c r="G197" s="134" t="n"/>
      <c r="H197" s="161" t="n"/>
      <c r="I197" s="161" t="n"/>
      <c r="J197" s="161" t="n"/>
      <c r="K197" s="135" t="n"/>
      <c r="L197" s="134" t="n"/>
      <c r="M197" s="161" t="n"/>
      <c r="N197" s="135" t="n"/>
      <c r="O197" s="135" t="n"/>
      <c r="P197" s="161" t="n"/>
    </row>
    <row r="198">
      <c r="A198" s="187" t="n"/>
      <c r="B198" s="187" t="n"/>
      <c r="C198" s="134" t="n"/>
      <c r="D198" s="135" t="n"/>
      <c r="E198" s="161" t="n"/>
      <c r="F198" s="161" t="n"/>
      <c r="G198" s="134" t="n"/>
      <c r="H198" s="161" t="n"/>
      <c r="I198" s="161" t="n"/>
      <c r="J198" s="161" t="n"/>
      <c r="K198" s="135" t="n"/>
      <c r="L198" s="134" t="n"/>
      <c r="M198" s="161" t="n"/>
      <c r="N198" s="135" t="n"/>
      <c r="O198" s="135" t="n"/>
      <c r="P198" s="161" t="n"/>
    </row>
    <row r="199">
      <c r="A199" s="187" t="n"/>
      <c r="B199" s="187" t="n"/>
      <c r="C199" s="134" t="n"/>
      <c r="D199" s="135" t="n"/>
      <c r="E199" s="161" t="n"/>
      <c r="F199" s="161" t="n"/>
      <c r="G199" s="134" t="n"/>
      <c r="H199" s="161" t="n"/>
      <c r="I199" s="161" t="n"/>
      <c r="J199" s="161" t="n"/>
      <c r="K199" s="135" t="n"/>
      <c r="L199" s="134" t="n"/>
      <c r="M199" s="161" t="n"/>
      <c r="N199" s="135" t="n"/>
      <c r="O199" s="135" t="n"/>
      <c r="P199" s="161" t="n"/>
    </row>
  </sheetData>
  <mergeCells count="3">
    <mergeCell ref="E1:I1"/>
    <mergeCell ref="A1:C2"/>
    <mergeCell ref="N1:O1"/>
  </mergeCells>
  <pageMargins left="0.5118110236220472" right="0.1181102362204725" top="0.2755905511811024" bottom="0.5905511811023623" header="0.1181102362204725" footer="0.1181102362204725"/>
  <pageSetup orientation="portrait" paperSize="5"/>
  <rowBreaks count="1" manualBreakCount="1">
    <brk id="67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="55" zoomScaleNormal="55" workbookViewId="0">
      <selection activeCell="Q1" sqref="Q1"/>
    </sheetView>
  </sheetViews>
  <sheetFormatPr baseColWidth="8" defaultColWidth="8.77734375" defaultRowHeight="409.6"/>
  <cols>
    <col width="61.5546875" bestFit="1" customWidth="1" style="8" min="1" max="2"/>
    <col width="8.77734375" customWidth="1" style="6" min="3" max="3"/>
    <col width="8.77734375" customWidth="1" style="6" min="4" max="16384"/>
  </cols>
  <sheetData>
    <row r="1">
      <c r="A1" s="9" t="inlineStr">
        <is>
          <t>A</t>
        </is>
      </c>
      <c r="B1" s="9" t="inlineStr">
        <is>
          <t>A</t>
        </is>
      </c>
    </row>
    <row r="2">
      <c r="A2" s="8" t="inlineStr">
        <is>
          <t>B</t>
        </is>
      </c>
      <c r="B2" s="8" t="inlineStr">
        <is>
          <t>B</t>
        </is>
      </c>
    </row>
    <row r="3">
      <c r="A3" s="8" t="inlineStr">
        <is>
          <t>C</t>
        </is>
      </c>
      <c r="B3" s="8" t="inlineStr">
        <is>
          <t>C</t>
        </is>
      </c>
    </row>
    <row r="4">
      <c r="A4" s="8" t="inlineStr">
        <is>
          <t>D</t>
        </is>
      </c>
      <c r="B4" s="8" t="inlineStr">
        <is>
          <t>D</t>
        </is>
      </c>
    </row>
    <row r="5">
      <c r="A5" s="8" t="inlineStr">
        <is>
          <t>E</t>
        </is>
      </c>
      <c r="B5" s="8" t="inlineStr">
        <is>
          <t>E</t>
        </is>
      </c>
    </row>
    <row r="6">
      <c r="A6" s="8" t="inlineStr">
        <is>
          <t>F</t>
        </is>
      </c>
      <c r="B6" s="8" t="inlineStr">
        <is>
          <t>F</t>
        </is>
      </c>
    </row>
    <row r="7">
      <c r="A7" s="8" t="inlineStr">
        <is>
          <t>G</t>
        </is>
      </c>
      <c r="B7" s="8" t="inlineStr">
        <is>
          <t>G</t>
        </is>
      </c>
    </row>
    <row r="8">
      <c r="A8" s="8" t="inlineStr">
        <is>
          <t>H</t>
        </is>
      </c>
      <c r="B8" s="8" t="inlineStr">
        <is>
          <t>H</t>
        </is>
      </c>
    </row>
    <row r="9">
      <c r="A9" s="10" t="inlineStr">
        <is>
          <t>I</t>
        </is>
      </c>
      <c r="B9" s="10" t="inlineStr">
        <is>
          <t>I</t>
        </is>
      </c>
    </row>
    <row r="10">
      <c r="A10" s="10" t="inlineStr">
        <is>
          <t>J</t>
        </is>
      </c>
      <c r="B10" s="10" t="inlineStr">
        <is>
          <t>J</t>
        </is>
      </c>
    </row>
    <row r="11">
      <c r="A11" s="8" t="inlineStr">
        <is>
          <t>K</t>
        </is>
      </c>
      <c r="B11" s="8" t="inlineStr">
        <is>
          <t>K</t>
        </is>
      </c>
    </row>
    <row r="12">
      <c r="A12" s="8" t="inlineStr">
        <is>
          <t>L</t>
        </is>
      </c>
      <c r="B12" s="8" t="inlineStr">
        <is>
          <t>L</t>
        </is>
      </c>
    </row>
    <row r="13">
      <c r="A13" s="8" t="inlineStr">
        <is>
          <t>M</t>
        </is>
      </c>
      <c r="B13" s="8" t="inlineStr">
        <is>
          <t>M</t>
        </is>
      </c>
    </row>
    <row r="14">
      <c r="A14" s="8" t="inlineStr">
        <is>
          <t>N</t>
        </is>
      </c>
      <c r="B14" s="8" t="inlineStr">
        <is>
          <t>N</t>
        </is>
      </c>
    </row>
    <row r="15">
      <c r="A15" s="8" t="inlineStr">
        <is>
          <t>O</t>
        </is>
      </c>
      <c r="B15" s="8" t="inlineStr">
        <is>
          <t>O</t>
        </is>
      </c>
    </row>
    <row r="16">
      <c r="A16" s="8" t="inlineStr">
        <is>
          <t>P</t>
        </is>
      </c>
      <c r="B16" s="8" t="inlineStr">
        <is>
          <t>P</t>
        </is>
      </c>
    </row>
    <row r="17">
      <c r="A17" s="8" t="inlineStr">
        <is>
          <t>Q</t>
        </is>
      </c>
      <c r="B17" s="8" t="inlineStr">
        <is>
          <t>Q</t>
        </is>
      </c>
    </row>
    <row r="23" customFormat="1" s="8">
      <c r="A23" s="7" t="n"/>
      <c r="B23" s="7" t="n"/>
    </row>
  </sheetData>
  <printOptions horizontalCentered="1"/>
  <pageMargins left="0.1968503937007874" right="0" top="0.5511811023622047" bottom="0.1574803149606299" header="0.3149606299212598" footer="0.3149606299212598"/>
  <pageSetup orientation="landscape" paperSize="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G3"/>
  <sheetViews>
    <sheetView tabSelected="1" workbookViewId="0">
      <pane xSplit="4" ySplit="3" topLeftCell="E4" activePane="bottomRight" state="frozen"/>
      <selection pane="topRight"/>
      <selection pane="bottomLeft"/>
      <selection pane="bottomRight" activeCell="M9" sqref="M9"/>
    </sheetView>
  </sheetViews>
  <sheetFormatPr baseColWidth="8" defaultRowHeight="14.4"/>
  <cols>
    <col width="16" customWidth="1" style="268" min="1" max="1"/>
    <col width="16" customWidth="1" style="268" min="2" max="16384"/>
    <col width="22" customWidth="1" style="268" min="3" max="3"/>
    <col width="22" customWidth="1" style="268" min="4" max="4"/>
    <col width="16" customWidth="1" style="268" min="5" max="5"/>
    <col width="16" customWidth="1" style="268" min="6" max="6"/>
    <col width="22" customWidth="1" style="268" min="7" max="7"/>
    <col width="16" customWidth="1" style="268" min="8" max="8"/>
    <col width="16" customWidth="1" style="268" min="9" max="9"/>
    <col width="16" customWidth="1" style="268" min="10" max="10"/>
    <col width="16" customWidth="1" style="268" min="11" max="11"/>
    <col width="22" customWidth="1" style="268" min="12" max="12"/>
    <col width="16" customWidth="1" style="268" min="13" max="13"/>
    <col width="16" customWidth="1" style="268" min="14" max="14"/>
    <col width="16" customWidth="1" style="268" min="15" max="15"/>
    <col width="22" customWidth="1" style="268" min="16" max="16"/>
    <col width="16" customWidth="1" style="268" min="17" max="17"/>
    <col hidden="1" width="16" customWidth="1" style="268" min="18" max="18"/>
    <col hidden="1" width="16" customWidth="1" style="268" min="19" max="19"/>
    <col hidden="1" width="16" customWidth="1" style="268" min="20" max="20"/>
    <col hidden="1" width="16" customWidth="1" style="268" min="21" max="21"/>
    <col hidden="1" width="16" customWidth="1" style="268" min="22" max="22"/>
    <col hidden="1" width="16" customWidth="1" style="268" min="23" max="23"/>
    <col hidden="1" width="16" customWidth="1" style="268" min="24" max="24"/>
    <col hidden="1" width="16" customWidth="1" style="268" min="25" max="25"/>
    <col hidden="1" width="16" customWidth="1" style="268" min="26" max="26"/>
    <col hidden="1" width="16" customWidth="1" style="268" min="27" max="27"/>
    <col hidden="1" width="16" customWidth="1" style="268" min="28" max="28"/>
    <col hidden="1" width="16" customWidth="1" style="268" min="29" max="29"/>
    <col hidden="1" width="16" customWidth="1" style="268" min="30" max="30"/>
    <col hidden="1" width="16" customWidth="1" style="268" min="31" max="31"/>
    <col hidden="1" width="16" customWidth="1" style="268" min="32" max="32"/>
    <col hidden="1" width="16" customWidth="1" style="268" min="33" max="33"/>
    <col hidden="1" width="16" customWidth="1" style="268" min="34" max="34"/>
    <col hidden="1" width="16" customWidth="1" style="268" min="35" max="35"/>
    <col hidden="1" width="16" customWidth="1" style="268" min="36" max="36"/>
    <col hidden="1" width="16" customWidth="1" style="268" min="37" max="37"/>
    <col hidden="1" width="16" customWidth="1" style="268" min="38" max="38"/>
    <col hidden="1" width="16" customWidth="1" style="268" min="39" max="39"/>
    <col hidden="1" width="16" customWidth="1" style="268" min="40" max="40"/>
    <col hidden="1" width="16" customWidth="1" style="268" min="41" max="41"/>
    <col hidden="1" width="16" customWidth="1" style="268" min="42" max="42"/>
    <col hidden="1" width="16" customWidth="1" style="268" min="43" max="43"/>
    <col hidden="1" width="16" customWidth="1" style="268" min="44" max="44"/>
    <col hidden="1" width="16" customWidth="1" style="268" min="45" max="45"/>
    <col hidden="1" width="16" customWidth="1" style="268" min="46" max="46"/>
    <col hidden="1" width="16" customWidth="1" style="268" min="47" max="47"/>
    <col hidden="1" width="16" customWidth="1" style="268" min="48" max="48"/>
    <col hidden="1" width="16" customWidth="1" style="268" min="49" max="49"/>
    <col hidden="1" width="16" customWidth="1" style="268" min="50" max="50"/>
    <col hidden="1" width="16" customWidth="1" style="268" min="51" max="51"/>
    <col hidden="1" width="16" customWidth="1" style="268" min="52" max="52"/>
    <col hidden="1" width="16" customWidth="1" style="268" min="53" max="53"/>
    <col width="16" customWidth="1" style="268" min="54" max="54"/>
    <col width="16" customWidth="1" style="268" min="55" max="55"/>
    <col width="16" customWidth="1" style="268" min="56" max="56"/>
    <col width="16" customWidth="1" style="268" min="57" max="57"/>
    <col width="16" customWidth="1" style="268" min="58" max="58"/>
    <col width="16" customWidth="1" style="268" min="59" max="59"/>
    <col width="16" customWidth="1" style="268" min="60" max="60"/>
    <col width="16" customWidth="1" style="268" min="61" max="61"/>
    <col width="16" customWidth="1" style="268" min="62" max="62"/>
    <col width="16" customWidth="1" style="268" min="63" max="63"/>
    <col width="16" customWidth="1" style="268" min="64" max="64"/>
    <col width="22" customWidth="1" style="268" min="65" max="65"/>
    <col width="16" customWidth="1" style="268" min="66" max="66"/>
    <col width="16" customWidth="1" style="268" min="67" max="67"/>
    <col width="16" customWidth="1" style="268" min="68" max="68"/>
    <col width="16" customWidth="1" style="268" min="69" max="69"/>
    <col width="16" customWidth="1" style="268" min="70" max="70"/>
    <col width="16" customWidth="1" style="268" min="71" max="71"/>
    <col width="16" customWidth="1" style="268" min="72" max="72"/>
    <col width="16" customWidth="1" style="268" min="73" max="73"/>
    <col width="16" customWidth="1" style="268" min="74" max="74"/>
    <col width="16" customWidth="1" style="268" min="75" max="75"/>
    <col width="16" customWidth="1" style="268" min="76" max="76"/>
    <col width="16" customWidth="1" style="268" min="77" max="77"/>
    <col width="16" customWidth="1" style="268" min="78" max="78"/>
    <col width="16" customWidth="1" style="268" min="79" max="79"/>
    <col width="16" customWidth="1" style="268" min="80" max="80"/>
    <col width="16" customWidth="1" style="268" min="81" max="81"/>
    <col width="16" customWidth="1" style="268" min="82" max="82"/>
    <col width="16" customWidth="1" style="268" min="83" max="83"/>
    <col width="16" customWidth="1" style="268" min="84" max="84"/>
    <col width="22" customWidth="1" style="268" min="85" max="85"/>
    <col width="22" customWidth="1" style="268" min="86" max="86"/>
    <col hidden="1" width="16" customWidth="1" style="268" min="87" max="87"/>
    <col hidden="1" width="16" customWidth="1" style="268" min="88" max="88"/>
    <col hidden="1" width="16" customWidth="1" style="268" min="89" max="89"/>
    <col hidden="1" width="16" customWidth="1" style="268" min="90" max="90"/>
    <col hidden="1" width="16" customWidth="1" style="268" min="91" max="91"/>
    <col hidden="1" width="16" customWidth="1" style="268" min="92" max="92"/>
    <col hidden="1" width="16" customWidth="1" style="268" min="93" max="93"/>
    <col hidden="1" width="16" customWidth="1" style="268" min="94" max="94"/>
    <col hidden="1" width="16" customWidth="1" style="268" min="95" max="95"/>
    <col width="16" customWidth="1" style="268" min="96" max="96"/>
    <col width="16" customWidth="1" style="268" min="97" max="97"/>
    <col width="16" customWidth="1" style="268" min="98" max="98"/>
    <col width="16" customWidth="1" style="268" min="99" max="99"/>
    <col width="16" customWidth="1" style="268" min="100" max="100"/>
    <col width="16" customWidth="1" style="268" min="101" max="101"/>
    <col width="16" customWidth="1" style="268" min="102" max="102"/>
    <col width="16" customWidth="1" style="268" min="103" max="103"/>
    <col width="16" customWidth="1" style="268" min="104" max="104"/>
    <col width="16" customWidth="1" style="268" min="105" max="105"/>
    <col width="16" customWidth="1" style="268" min="106" max="106"/>
    <col width="16" customWidth="1" style="268" min="107" max="107"/>
    <col width="16" customWidth="1" style="268" min="108" max="108"/>
    <col width="16" customWidth="1" style="268" min="109" max="109"/>
    <col width="16" customWidth="1" style="268" min="110" max="110"/>
    <col width="16" customWidth="1" style="268" min="111" max="111"/>
    <col width="16" customWidth="1" style="268" min="112" max="112"/>
    <col width="16" customWidth="1" style="268" min="113" max="113"/>
    <col width="16" customWidth="1" style="268" min="114" max="114"/>
    <col width="16" customWidth="1" style="268" min="115" max="115"/>
    <col width="16" customWidth="1" style="268" min="116" max="116"/>
    <col width="16" customWidth="1" style="268" min="117" max="117"/>
    <col width="16" customWidth="1" style="268" min="118" max="118"/>
    <col width="16" customWidth="1" style="268" min="119" max="119"/>
    <col width="16" customWidth="1" style="268" min="120" max="120"/>
    <col width="16" customWidth="1" style="268" min="121" max="121"/>
    <col width="16" customWidth="1" style="268" min="122" max="122"/>
    <col width="16" customWidth="1" style="268" min="123" max="123"/>
    <col width="16" customWidth="1" style="268" min="124" max="124"/>
    <col width="16" customWidth="1" style="268" min="125" max="125"/>
    <col width="16" customWidth="1" style="268" min="126" max="126"/>
    <col width="16" customWidth="1" style="268" min="127" max="127"/>
    <col width="16" customWidth="1" style="268" min="128" max="128"/>
    <col width="16" customWidth="1" style="268" min="129" max="129"/>
    <col width="16" customWidth="1" style="268" min="130" max="130"/>
    <col width="16" customWidth="1" style="268" min="131" max="131"/>
    <col width="16" customWidth="1" style="268" min="132" max="132"/>
    <col width="16" customWidth="1" style="268" min="133" max="133"/>
    <col width="16" customWidth="1" style="268" min="134" max="134"/>
    <col width="16" customWidth="1" style="268" min="135" max="135"/>
    <col width="16" customWidth="1" style="268" min="136" max="136"/>
    <col width="16" customWidth="1" style="268" min="137" max="137"/>
    <col width="16" customWidth="1" style="268" min="138" max="138"/>
    <col width="16" customWidth="1" style="268" min="139" max="139"/>
    <col width="16" customWidth="1" style="268" min="140" max="140"/>
    <col width="16" customWidth="1" style="268" min="141" max="141"/>
    <col width="16" customWidth="1" style="268" min="142" max="142"/>
    <col width="16" customWidth="1" style="268" min="143" max="143"/>
    <col width="16" customWidth="1" style="268" min="144" max="144"/>
    <col width="16" customWidth="1" style="268" min="145" max="145"/>
    <col width="16" customWidth="1" style="268" min="146" max="146"/>
    <col width="16" customWidth="1" style="268" min="147" max="147"/>
    <col width="16" customWidth="1" style="268" min="148" max="148"/>
    <col width="16" customWidth="1" style="268" min="149" max="149"/>
    <col width="16" customWidth="1" style="268" min="150" max="150"/>
    <col width="16" customWidth="1" style="268" min="151" max="151"/>
    <col width="16" customWidth="1" style="268" min="152" max="152"/>
    <col width="16" customWidth="1" style="268" min="153" max="153"/>
    <col width="16" customWidth="1" style="268" min="154" max="154"/>
    <col width="16" customWidth="1" style="268" min="155" max="155"/>
    <col width="16" customWidth="1" style="268" min="156" max="156"/>
    <col width="22" customWidth="1" style="268" min="157" max="157"/>
    <col width="16" customWidth="1" style="268" min="158" max="158"/>
    <col width="16" customWidth="1" style="268" min="159" max="159"/>
    <col width="16" customWidth="1" style="268" min="160" max="160"/>
    <col width="16" customWidth="1" style="268" min="161" max="161"/>
    <col width="16" customWidth="1" style="268" min="162" max="162"/>
    <col width="16" customWidth="1" style="268" min="163" max="163"/>
  </cols>
  <sheetData>
    <row r="1" ht="28" customHeight="1" s="268">
      <c r="A1" s="327" t="inlineStr">
        <is>
          <t>VEHICLE INFORMATION</t>
        </is>
      </c>
      <c r="B1" s="302" t="n"/>
      <c r="C1" s="302" t="n"/>
      <c r="D1" s="302" t="n"/>
      <c r="E1" s="302" t="n"/>
      <c r="F1" s="302" t="n"/>
      <c r="G1" s="302" t="n"/>
      <c r="H1" s="302" t="n"/>
      <c r="I1" s="302" t="n"/>
      <c r="J1" s="302" t="n"/>
      <c r="K1" s="302" t="n"/>
      <c r="L1" s="302" t="n"/>
      <c r="M1" s="302" t="n"/>
      <c r="N1" s="302" t="n"/>
      <c r="O1" s="302" t="n"/>
      <c r="P1" s="302" t="n"/>
      <c r="Q1" s="303" t="n"/>
      <c r="R1" s="328" t="inlineStr">
        <is>
          <t>PHOTOS &amp; VIDEOS  —  upload in the Media panel (leave blank)</t>
        </is>
      </c>
      <c r="BB1" s="329" t="inlineStr">
        <is>
          <t>PRICING</t>
        </is>
      </c>
      <c r="BF1" s="330" t="inlineStr">
        <is>
          <t>INSURANCE</t>
        </is>
      </c>
      <c r="BJ1" s="331" t="inlineStr">
        <is>
          <t>CONDITION</t>
        </is>
      </c>
      <c r="BU1" s="332" t="inlineStr">
        <is>
          <t>SERVICE HISTORY</t>
        </is>
      </c>
      <c r="BX1" s="333" t="inlineStr">
        <is>
          <t>DOCUMENTS &amp; FINANCE</t>
        </is>
      </c>
      <c r="CC1" s="334" t="inlineStr">
        <is>
          <t>WARRANTY</t>
        </is>
      </c>
      <c r="CF1" s="335" t="inlineStr">
        <is>
          <t>SALE INFO</t>
        </is>
      </c>
      <c r="CI1" s="336" t="inlineStr">
        <is>
          <t>SYSTEM  —  auto-filled (leave blank)</t>
        </is>
      </c>
      <c r="CR1" s="337" t="inlineStr">
        <is>
          <t>ENGINE &amp; TRANSMISSION</t>
        </is>
      </c>
      <c r="CY1" s="338" t="inlineStr">
        <is>
          <t>FUEL ECONOMY</t>
        </is>
      </c>
      <c r="DA1" s="327" t="inlineStr">
        <is>
          <t>DIMENSIONS</t>
        </is>
      </c>
      <c r="DG1" s="328" t="inlineStr">
        <is>
          <t>EXTERIOR</t>
        </is>
      </c>
      <c r="DO1" s="329" t="inlineStr">
        <is>
          <t>INTERIOR &amp; COMFORT</t>
        </is>
      </c>
      <c r="EC1" s="330" t="inlineStr">
        <is>
          <t>INFOTAINMENT</t>
        </is>
      </c>
      <c r="EH1" s="331" t="inlineStr">
        <is>
          <t>SAFETY</t>
        </is>
      </c>
      <c r="EO1" s="332" t="inlineStr">
        <is>
          <t>DOCUMENTS (EXTRA) &amp; KEYS</t>
        </is>
      </c>
      <c r="EW1" s="333" t="inlineStr">
        <is>
          <t>ACCESSORIES</t>
        </is>
      </c>
      <c r="FB1" s="334" t="inlineStr">
        <is>
          <t>EV / BATTERY</t>
        </is>
      </c>
    </row>
    <row r="2" ht="30" customHeight="1" s="268">
      <c r="A2" s="339" t="inlineStr">
        <is>
          <t>Stock No</t>
        </is>
      </c>
      <c r="B2" s="339" t="inlineStr">
        <is>
          <t>Sr No</t>
        </is>
      </c>
      <c r="C2" s="339" t="inlineStr">
        <is>
          <t>Company / Make</t>
        </is>
      </c>
      <c r="D2" s="339" t="inlineStr">
        <is>
          <t>Model</t>
        </is>
      </c>
      <c r="E2" s="340" t="inlineStr">
        <is>
          <t>Year</t>
        </is>
      </c>
      <c r="F2" s="339" t="inlineStr">
        <is>
          <t>Insurance Valid Till</t>
        </is>
      </c>
      <c r="G2" s="339" t="inlineStr">
        <is>
          <t>Variant</t>
        </is>
      </c>
      <c r="H2" s="339" t="inlineStr">
        <is>
          <t>Fuel Type</t>
        </is>
      </c>
      <c r="I2" s="339" t="inlineStr">
        <is>
          <t>Transmission</t>
        </is>
      </c>
      <c r="J2" s="339" t="inlineStr">
        <is>
          <t>Owners</t>
        </is>
      </c>
      <c r="K2" s="339" t="inlineStr">
        <is>
          <t>KM Driven</t>
        </is>
      </c>
      <c r="L2" s="339" t="inlineStr">
        <is>
          <t>Colour</t>
        </is>
      </c>
      <c r="M2" s="339" t="inlineStr">
        <is>
          <t>Rate (Rs)</t>
        </is>
      </c>
      <c r="N2" s="339" t="inlineStr">
        <is>
          <t>CAR NUMB</t>
        </is>
      </c>
      <c r="O2" s="339" t="inlineStr">
        <is>
          <t>Reg Last 4</t>
        </is>
      </c>
      <c r="P2" s="339" t="inlineStr">
        <is>
          <t>Location</t>
        </is>
      </c>
      <c r="Q2" s="339" t="inlineStr">
        <is>
          <t>RTO</t>
        </is>
      </c>
      <c r="R2" s="339" t="inlineStr">
        <is>
          <t>EXTERIOR 1 (10 Photos of exterior).</t>
        </is>
      </c>
      <c r="S2" s="339" t="n">
        <v>2</v>
      </c>
      <c r="T2" s="339" t="n">
        <v>3</v>
      </c>
      <c r="U2" s="339" t="n">
        <v>4</v>
      </c>
      <c r="V2" s="339" t="n">
        <v>5</v>
      </c>
      <c r="W2" s="339" t="n">
        <v>6</v>
      </c>
      <c r="X2" s="339" t="n">
        <v>7</v>
      </c>
      <c r="Y2" s="339" t="n">
        <v>8</v>
      </c>
      <c r="Z2" s="339" t="n">
        <v>9</v>
      </c>
      <c r="AA2" s="339" t="n">
        <v>10</v>
      </c>
      <c r="AB2" s="339" t="inlineStr">
        <is>
          <t>INTERIOR 1</t>
        </is>
      </c>
      <c r="AC2" s="339" t="n">
        <v>2</v>
      </c>
      <c r="AD2" s="339" t="n">
        <v>3</v>
      </c>
      <c r="AE2" s="339" t="n">
        <v>4</v>
      </c>
      <c r="AF2" s="339" t="n">
        <v>5</v>
      </c>
      <c r="AG2" s="339" t="n">
        <v>6</v>
      </c>
      <c r="AH2" s="339" t="n">
        <v>7</v>
      </c>
      <c r="AI2" s="339" t="n">
        <v>8</v>
      </c>
      <c r="AJ2" s="339" t="n">
        <v>9</v>
      </c>
      <c r="AK2" s="339" t="n">
        <v>10</v>
      </c>
      <c r="AL2" s="339" t="inlineStr">
        <is>
          <t>VIDEO 1</t>
        </is>
      </c>
      <c r="AM2" s="339" t="n">
        <v>2</v>
      </c>
      <c r="AN2" s="339" t="n">
        <v>3</v>
      </c>
      <c r="AO2" s="339" t="n">
        <v>4</v>
      </c>
      <c r="AP2" s="339" t="n">
        <v>5</v>
      </c>
      <c r="AQ2" s="339" t="inlineStr">
        <is>
          <t>INSTAGRAM 1</t>
        </is>
      </c>
      <c r="AR2" s="339" t="n">
        <v>2</v>
      </c>
      <c r="AS2" s="339" t="n">
        <v>3</v>
      </c>
      <c r="AT2" s="339" t="n">
        <v>4</v>
      </c>
      <c r="AU2" s="339" t="n">
        <v>5</v>
      </c>
      <c r="AV2" s="339" t="inlineStr">
        <is>
          <t>YOUTUBE 1</t>
        </is>
      </c>
      <c r="AW2" s="339" t="n">
        <v>2</v>
      </c>
      <c r="AX2" s="339" t="n">
        <v>3</v>
      </c>
      <c r="AY2" s="339" t="n">
        <v>4</v>
      </c>
      <c r="AZ2" s="339" t="n">
        <v>5</v>
      </c>
      <c r="BA2" s="339" t="n"/>
      <c r="BB2" s="339" t="inlineStr">
        <is>
          <t>Price Range Low</t>
        </is>
      </c>
      <c r="BC2" s="339" t="inlineStr">
        <is>
          <t>Price Range High</t>
        </is>
      </c>
      <c r="BD2" s="339" t="inlineStr">
        <is>
          <t>Negotiable</t>
        </is>
      </c>
      <c r="BE2" s="339" t="inlineStr">
        <is>
          <t>Claimed Mileage</t>
        </is>
      </c>
      <c r="BF2" s="339" t="inlineStr">
        <is>
          <t>Insurance Type</t>
        </is>
      </c>
      <c r="BG2" s="339" t="inlineStr">
        <is>
          <t>Insurance Expiry</t>
        </is>
      </c>
      <c r="BH2" s="339" t="inlineStr">
        <is>
          <t>Zero Dep</t>
        </is>
      </c>
      <c r="BI2" s="339" t="inlineStr">
        <is>
          <t>Insurance Claim History</t>
        </is>
      </c>
      <c r="BJ2" s="339" t="inlineStr">
        <is>
          <t>Accident Free</t>
        </is>
      </c>
      <c r="BK2" s="339" t="inlineStr">
        <is>
          <t>Flood Damage</t>
        </is>
      </c>
      <c r="BL2" s="339" t="inlineStr">
        <is>
          <t>Repainted</t>
        </is>
      </c>
      <c r="BM2" s="339" t="inlineStr">
        <is>
          <t>Repaint Panels</t>
        </is>
      </c>
      <c r="BN2" s="339" t="inlineStr">
        <is>
          <t>Body Condition</t>
        </is>
      </c>
      <c r="BO2" s="339" t="inlineStr">
        <is>
          <t>Engine Condition</t>
        </is>
      </c>
      <c r="BP2" s="339" t="inlineStr">
        <is>
          <t>Interior Condition</t>
        </is>
      </c>
      <c r="BQ2" s="339" t="inlineStr">
        <is>
          <t>Tyre Condition</t>
        </is>
      </c>
      <c r="BR2" s="339" t="inlineStr">
        <is>
          <t>Brake Condition</t>
        </is>
      </c>
      <c r="BS2" s="339" t="inlineStr">
        <is>
          <t>Clutch Condition</t>
        </is>
      </c>
      <c r="BT2" s="339" t="inlineStr">
        <is>
          <t>Battery Condition</t>
        </is>
      </c>
      <c r="BU2" s="339" t="inlineStr">
        <is>
          <t>Service History Available</t>
        </is>
      </c>
      <c r="BV2" s="339" t="inlineStr">
        <is>
          <t>Last Service Date</t>
        </is>
      </c>
      <c r="BW2" s="339" t="inlineStr">
        <is>
          <t>Service Center Type</t>
        </is>
      </c>
      <c r="BX2" s="339" t="inlineStr">
        <is>
          <t>RC Status</t>
        </is>
      </c>
      <c r="BY2" s="339" t="inlineStr">
        <is>
          <t>Hypothecation Bank</t>
        </is>
      </c>
      <c r="BZ2" s="339" t="inlineStr">
        <is>
          <t>Loan Closed</t>
        </is>
      </c>
      <c r="CA2" s="339" t="inlineStr">
        <is>
          <t>NOC Available</t>
        </is>
      </c>
      <c r="CB2" s="339" t="inlineStr">
        <is>
          <t>Finance Eligible</t>
        </is>
      </c>
      <c r="CC2" s="339" t="inlineStr">
        <is>
          <t>Warranty Available</t>
        </is>
      </c>
      <c r="CD2" s="339" t="inlineStr">
        <is>
          <t>Warranty Expiry</t>
        </is>
      </c>
      <c r="CE2" s="339" t="inlineStr">
        <is>
          <t>Warranty Provider</t>
        </is>
      </c>
      <c r="CF2" s="339" t="inlineStr">
        <is>
          <t>Reason for Sale</t>
        </is>
      </c>
      <c r="CG2" s="339" t="inlineStr">
        <is>
          <t>Best Features</t>
        </is>
      </c>
      <c r="CH2" s="339" t="inlineStr">
        <is>
          <t>Known Issues</t>
        </is>
      </c>
      <c r="CI2" s="339" t="inlineStr">
        <is>
          <t>Photo Count</t>
        </is>
      </c>
      <c r="CJ2" s="339" t="inlineStr">
        <is>
          <t>Video Count</t>
        </is>
      </c>
      <c r="CK2" s="339" t="inlineStr">
        <is>
          <t>STATUS</t>
        </is>
      </c>
      <c r="CL2" s="339" t="inlineStr">
        <is>
          <t>PHOTO_URLS</t>
        </is>
      </c>
      <c r="CM2" s="339" t="inlineStr">
        <is>
          <t>VIDEO_URLS</t>
        </is>
      </c>
      <c r="CN2" s="339" t="inlineStr">
        <is>
          <t>YOUTUBE_URL</t>
        </is>
      </c>
      <c r="CO2" s="339" t="inlineStr">
        <is>
          <t>INSTAGRAM_URL</t>
        </is>
      </c>
      <c r="CP2" s="339" t="inlineStr">
        <is>
          <t>MEDIA_FOLDER_ID</t>
        </is>
      </c>
      <c r="CQ2" s="339" t="inlineStr">
        <is>
          <t>LAST_UPDATED</t>
        </is>
      </c>
      <c r="CR2" s="339" t="inlineStr">
        <is>
          <t>Engine CC</t>
        </is>
      </c>
      <c r="CS2" s="339" t="inlineStr">
        <is>
          <t>Power BHP</t>
        </is>
      </c>
      <c r="CT2" s="339" t="inlineStr">
        <is>
          <t>Torque NM</t>
        </is>
      </c>
      <c r="CU2" s="339" t="inlineStr">
        <is>
          <t>Aspiration</t>
        </is>
      </c>
      <c r="CV2" s="339" t="inlineStr">
        <is>
          <t>Transmission Subtype</t>
        </is>
      </c>
      <c r="CW2" s="339" t="inlineStr">
        <is>
          <t>Gears</t>
        </is>
      </c>
      <c r="CX2" s="339" t="inlineStr">
        <is>
          <t>Drivetrain</t>
        </is>
      </c>
      <c r="CY2" s="339" t="inlineStr">
        <is>
          <t>Mileage ARAI</t>
        </is>
      </c>
      <c r="CZ2" s="339" t="inlineStr">
        <is>
          <t>Fuel Tank</t>
        </is>
      </c>
      <c r="DA2" s="339" t="inlineStr">
        <is>
          <t>Length MM</t>
        </is>
      </c>
      <c r="DB2" s="339" t="inlineStr">
        <is>
          <t>Width MM</t>
        </is>
      </c>
      <c r="DC2" s="339" t="inlineStr">
        <is>
          <t>Height MM</t>
        </is>
      </c>
      <c r="DD2" s="339" t="inlineStr">
        <is>
          <t>Wheelbase MM</t>
        </is>
      </c>
      <c r="DE2" s="339" t="inlineStr">
        <is>
          <t>Boot Litres</t>
        </is>
      </c>
      <c r="DF2" s="339" t="inlineStr">
        <is>
          <t>Ground Clearance MM</t>
        </is>
      </c>
      <c r="DG2" s="339" t="inlineStr">
        <is>
          <t>Headlamp Type</t>
        </is>
      </c>
      <c r="DH2" s="339" t="inlineStr">
        <is>
          <t>DRL</t>
        </is>
      </c>
      <c r="DI2" s="339" t="inlineStr">
        <is>
          <t>Fog Lamps</t>
        </is>
      </c>
      <c r="DJ2" s="339" t="inlineStr">
        <is>
          <t>Wheel Type</t>
        </is>
      </c>
      <c r="DK2" s="339" t="inlineStr">
        <is>
          <t>Wheel Size Inch</t>
        </is>
      </c>
      <c r="DL2" s="339" t="inlineStr">
        <is>
          <t>Sunroof Type</t>
        </is>
      </c>
      <c r="DM2" s="339" t="inlineStr">
        <is>
          <t>Roof Rails</t>
        </is>
      </c>
      <c r="DN2" s="339" t="inlineStr">
        <is>
          <t>Spoiler</t>
        </is>
      </c>
      <c r="DO2" s="339" t="inlineStr">
        <is>
          <t>Upholstery</t>
        </is>
      </c>
      <c r="DP2" s="339" t="inlineStr">
        <is>
          <t>AC Type</t>
        </is>
      </c>
      <c r="DQ2" s="339" t="inlineStr">
        <is>
          <t>Rear AC Vents</t>
        </is>
      </c>
      <c r="DR2" s="339" t="inlineStr">
        <is>
          <t>Power Windows</t>
        </is>
      </c>
      <c r="DS2" s="339" t="inlineStr">
        <is>
          <t>Adjustable Seat</t>
        </is>
      </c>
      <c r="DT2" s="339" t="inlineStr">
        <is>
          <t>Push Button Start</t>
        </is>
      </c>
      <c r="DU2" s="339" t="inlineStr">
        <is>
          <t>Keyless Entry</t>
        </is>
      </c>
      <c r="DV2" s="339" t="inlineStr">
        <is>
          <t>Cruise Control</t>
        </is>
      </c>
      <c r="DW2" s="339" t="inlineStr">
        <is>
          <t>Auto Folding ORVM</t>
        </is>
      </c>
      <c r="DX2" s="339" t="inlineStr">
        <is>
          <t>Rear Defogger</t>
        </is>
      </c>
      <c r="DY2" s="339" t="inlineStr">
        <is>
          <t>Rear Wiper</t>
        </is>
      </c>
      <c r="DZ2" s="339" t="inlineStr">
        <is>
          <t>Wireless Charging</t>
        </is>
      </c>
      <c r="EA2" s="339" t="inlineStr">
        <is>
          <t>Ventilated Seats</t>
        </is>
      </c>
      <c r="EB2" s="339" t="inlineStr">
        <is>
          <t>Connected Car</t>
        </is>
      </c>
      <c r="EC2" s="339" t="inlineStr">
        <is>
          <t>Touchscreen Inches</t>
        </is>
      </c>
      <c r="ED2" s="339" t="inlineStr">
        <is>
          <t>Android Auto CarPlay</t>
        </is>
      </c>
      <c r="EE2" s="339" t="inlineStr">
        <is>
          <t>Speakers</t>
        </is>
      </c>
      <c r="EF2" s="339" t="inlineStr">
        <is>
          <t>Camera Type</t>
        </is>
      </c>
      <c r="EG2" s="339" t="inlineStr">
        <is>
          <t>Steering Controls</t>
        </is>
      </c>
      <c r="EH2" s="339" t="inlineStr">
        <is>
          <t>Airbags</t>
        </is>
      </c>
      <c r="EI2" s="339" t="inlineStr">
        <is>
          <t>ABS EBD</t>
        </is>
      </c>
      <c r="EJ2" s="339" t="inlineStr">
        <is>
          <t>ESP</t>
        </is>
      </c>
      <c r="EK2" s="339" t="inlineStr">
        <is>
          <t>Hill Hold</t>
        </is>
      </c>
      <c r="EL2" s="339" t="inlineStr">
        <is>
          <t>Parking Sensors</t>
        </is>
      </c>
      <c r="EM2" s="339" t="inlineStr">
        <is>
          <t>ISOFIX</t>
        </is>
      </c>
      <c r="EN2" s="339" t="inlineStr">
        <is>
          <t>NCAP Rating</t>
        </is>
      </c>
      <c r="EO2" s="339" t="inlineStr">
        <is>
          <t>PUC Valid Till</t>
        </is>
      </c>
      <c r="EP2" s="339" t="inlineStr">
        <is>
          <t>Road Tax Status</t>
        </is>
      </c>
      <c r="EQ2" s="339" t="inlineStr">
        <is>
          <t>Fitness Valid Till</t>
        </is>
      </c>
      <c r="ER2" s="339" t="inlineStr">
        <is>
          <t>Duplicate RC</t>
        </is>
      </c>
      <c r="ES2" s="339" t="inlineStr">
        <is>
          <t>Keys Count</t>
        </is>
      </c>
      <c r="ET2" s="339" t="inlineStr">
        <is>
          <t>Usage Type</t>
        </is>
      </c>
      <c r="EU2" s="339" t="inlineStr">
        <is>
          <t>Tyre Life Pct</t>
        </is>
      </c>
      <c r="EV2" s="339" t="inlineStr">
        <is>
          <t>Battery Replaced On</t>
        </is>
      </c>
      <c r="EW2" s="339" t="inlineStr">
        <is>
          <t>Spare Key</t>
        </is>
      </c>
      <c r="EX2" s="339" t="inlineStr">
        <is>
          <t>Spare Tyre</t>
        </is>
      </c>
      <c r="EY2" s="339" t="inlineStr">
        <is>
          <t>Toolkit</t>
        </is>
      </c>
      <c r="EZ2" s="339" t="inlineStr">
        <is>
          <t>Floor Mats</t>
        </is>
      </c>
      <c r="FA2" s="339" t="inlineStr">
        <is>
          <t>Accessories Added</t>
        </is>
      </c>
      <c r="FB2" s="339" t="inlineStr">
        <is>
          <t>Battery Health Pct</t>
        </is>
      </c>
      <c r="FC2" s="339" t="inlineStr">
        <is>
          <t>Real Range KM</t>
        </is>
      </c>
      <c r="FD2" s="339" t="inlineStr">
        <is>
          <t>Battery Warranty Till</t>
        </is>
      </c>
      <c r="FE2" s="339" t="inlineStr">
        <is>
          <t>Charger Type</t>
        </is>
      </c>
      <c r="FF2" s="339" t="inlineStr">
        <is>
          <t>Charging Time</t>
        </is>
      </c>
      <c r="FG2" s="339" t="inlineStr">
        <is>
          <t>Battery Owned</t>
        </is>
      </c>
    </row>
    <row r="3" ht="18" customHeight="1" s="268">
      <c r="A3" s="341" t="n"/>
      <c r="B3" s="341" t="n"/>
      <c r="C3" s="341" t="inlineStr">
        <is>
          <t>code: MARU, TOYO, HOND…</t>
        </is>
      </c>
      <c r="D3" s="341" t="inlineStr">
        <is>
          <t>e.g. Swift</t>
        </is>
      </c>
      <c r="E3" s="341" t="inlineStr">
        <is>
          <t>e.g. 2019</t>
        </is>
      </c>
      <c r="F3" s="341" t="inlineStr">
        <is>
          <t>YYYY-MM-DD</t>
        </is>
      </c>
      <c r="G3" s="341" t="inlineStr">
        <is>
          <t>e.g. VXI</t>
        </is>
      </c>
      <c r="H3" s="342" t="inlineStr">
        <is>
          <t>P / D / C / E  (see legend)</t>
        </is>
      </c>
      <c r="I3" s="342" t="inlineStr">
        <is>
          <t>A = Auto,  M = Manual</t>
        </is>
      </c>
      <c r="J3" s="341" t="inlineStr">
        <is>
          <t>1 / 2 / 3</t>
        </is>
      </c>
      <c r="K3" s="341" t="inlineStr">
        <is>
          <t>e.g. 45000</t>
        </is>
      </c>
      <c r="L3" s="341" t="inlineStr">
        <is>
          <t>e.g. White</t>
        </is>
      </c>
      <c r="M3" s="341" t="inlineStr">
        <is>
          <t>e.g. 550000</t>
        </is>
      </c>
      <c r="N3" s="341" t="inlineStr">
        <is>
          <t>e.g. MH01AB1234  (required)</t>
        </is>
      </c>
      <c r="O3" s="341" t="inlineStr">
        <is>
          <t>e.g. 1234</t>
        </is>
      </c>
      <c r="P3" s="341" t="inlineStr">
        <is>
          <t>e.g. B2</t>
        </is>
      </c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  <c r="Z3" s="343" t="n"/>
      <c r="AA3" s="343" t="n"/>
      <c r="AB3" s="343" t="n"/>
      <c r="AC3" s="343" t="n"/>
      <c r="AD3" s="343" t="n"/>
      <c r="AE3" s="343" t="n"/>
      <c r="AF3" s="343" t="n"/>
      <c r="AG3" s="343" t="n"/>
      <c r="AH3" s="343" t="n"/>
      <c r="AI3" s="343" t="n"/>
      <c r="AJ3" s="343" t="n"/>
      <c r="AK3" s="343" t="n"/>
      <c r="AL3" s="343" t="n"/>
      <c r="AM3" s="343" t="n"/>
      <c r="AN3" s="343" t="n"/>
      <c r="AO3" s="343" t="n"/>
      <c r="AP3" s="343" t="n"/>
      <c r="AQ3" s="343" t="n"/>
      <c r="AR3" s="343" t="n"/>
      <c r="AS3" s="343" t="n"/>
      <c r="AT3" s="343" t="n"/>
      <c r="AU3" s="343" t="n"/>
      <c r="AV3" s="343" t="n"/>
      <c r="AW3" s="343" t="n"/>
      <c r="AX3" s="343" t="n"/>
      <c r="AY3" s="343" t="n"/>
      <c r="AZ3" s="343" t="n"/>
      <c r="BA3" s="343" t="n"/>
      <c r="BB3" s="343" t="n"/>
      <c r="BC3" s="343" t="n"/>
      <c r="BD3" s="343" t="n"/>
      <c r="BE3" s="343" t="n"/>
      <c r="BF3" s="343" t="n"/>
      <c r="BG3" s="343" t="n"/>
      <c r="BH3" s="343" t="n"/>
      <c r="BI3" s="343" t="n"/>
      <c r="BJ3" s="343" t="n"/>
      <c r="BK3" s="343" t="n"/>
      <c r="BL3" s="343" t="n"/>
      <c r="BM3" s="343" t="n"/>
      <c r="BN3" s="343" t="n"/>
      <c r="BO3" s="343" t="n"/>
      <c r="BP3" s="343" t="n"/>
      <c r="BQ3" s="343" t="n"/>
      <c r="BR3" s="343" t="n"/>
      <c r="BS3" s="343" t="n"/>
      <c r="BT3" s="343" t="n"/>
      <c r="BU3" s="343" t="n"/>
      <c r="BV3" s="343" t="n"/>
      <c r="BW3" s="343" t="n"/>
      <c r="BX3" s="343" t="n"/>
      <c r="BY3" s="343" t="n"/>
      <c r="BZ3" s="343" t="n"/>
      <c r="CA3" s="343" t="n"/>
      <c r="CB3" s="343" t="n"/>
      <c r="CC3" s="343" t="n"/>
      <c r="CD3" s="343" t="n"/>
      <c r="CE3" s="343" t="n"/>
      <c r="CF3" s="343" t="n"/>
      <c r="CG3" s="343" t="n"/>
      <c r="CH3" s="343" t="n"/>
      <c r="CI3" s="343" t="n"/>
      <c r="CJ3" s="343" t="n"/>
      <c r="CK3" s="343" t="n"/>
      <c r="CL3" s="343" t="n"/>
      <c r="CM3" s="343" t="n"/>
      <c r="CN3" s="343" t="n"/>
      <c r="CO3" s="343" t="n"/>
      <c r="CP3" s="343" t="n"/>
      <c r="CQ3" s="343" t="n"/>
      <c r="CR3" s="343" t="n"/>
      <c r="CS3" s="343" t="n"/>
      <c r="CT3" s="343" t="n"/>
      <c r="CU3" s="343" t="n"/>
      <c r="CV3" s="343" t="n"/>
      <c r="CW3" s="343" t="n"/>
      <c r="CX3" s="343" t="n"/>
      <c r="CY3" s="343" t="n"/>
      <c r="CZ3" s="343" t="n"/>
      <c r="DA3" s="343" t="n"/>
      <c r="DB3" s="343" t="n"/>
      <c r="DC3" s="343" t="n"/>
      <c r="DD3" s="343" t="n"/>
      <c r="DE3" s="343" t="n"/>
      <c r="DF3" s="343" t="n"/>
      <c r="DG3" s="343" t="n"/>
      <c r="DH3" s="343" t="n"/>
      <c r="DI3" s="343" t="n"/>
      <c r="DJ3" s="343" t="n"/>
      <c r="DK3" s="343" t="n"/>
      <c r="DL3" s="343" t="n"/>
      <c r="DM3" s="343" t="n"/>
      <c r="DN3" s="343" t="n"/>
      <c r="DO3" s="343" t="n"/>
      <c r="DP3" s="343" t="n"/>
      <c r="DQ3" s="343" t="n"/>
      <c r="DR3" s="343" t="n"/>
      <c r="DS3" s="343" t="n"/>
      <c r="DT3" s="343" t="n"/>
      <c r="DU3" s="343" t="n"/>
      <c r="DV3" s="343" t="n"/>
      <c r="DW3" s="343" t="n"/>
      <c r="DX3" s="343" t="n"/>
      <c r="DY3" s="343" t="n"/>
      <c r="DZ3" s="343" t="n"/>
      <c r="EA3" s="343" t="n"/>
      <c r="EB3" s="343" t="n"/>
      <c r="EC3" s="343" t="n"/>
      <c r="ED3" s="343" t="n"/>
      <c r="EE3" s="343" t="n"/>
      <c r="EF3" s="343" t="n"/>
      <c r="EG3" s="343" t="n"/>
      <c r="EH3" s="343" t="n"/>
      <c r="EI3" s="343" t="n"/>
      <c r="EJ3" s="343" t="n"/>
      <c r="EK3" s="343" t="n"/>
      <c r="EL3" s="343" t="n"/>
      <c r="EM3" s="343" t="n"/>
      <c r="EN3" s="343" t="n"/>
      <c r="EO3" s="343" t="n"/>
      <c r="EP3" s="343" t="n"/>
      <c r="EQ3" s="343" t="n"/>
      <c r="ER3" s="343" t="n"/>
      <c r="ES3" s="343" t="n"/>
      <c r="ET3" s="343" t="n"/>
      <c r="EU3" s="343" t="n"/>
      <c r="EV3" s="343" t="n"/>
      <c r="EW3" s="343" t="n"/>
      <c r="EX3" s="343" t="n"/>
      <c r="EY3" s="343" t="n"/>
      <c r="EZ3" s="343" t="n"/>
      <c r="FA3" s="343" t="n"/>
      <c r="FB3" s="343" t="n"/>
      <c r="FC3" s="343" t="n"/>
      <c r="FD3" s="343" t="n"/>
      <c r="FE3" s="343" t="n"/>
      <c r="FF3" s="343" t="n"/>
      <c r="FG3" s="343" t="n"/>
    </row>
  </sheetData>
  <autoFilter ref="A3:BA3"/>
  <mergeCells count="20">
    <mergeCell ref="DO1:EB1"/>
    <mergeCell ref="BU1:BW1"/>
    <mergeCell ref="DA1:DF1"/>
    <mergeCell ref="BJ1:BT1"/>
    <mergeCell ref="FB1:FG1"/>
    <mergeCell ref="A1:Q1"/>
    <mergeCell ref="CY1:CZ1"/>
    <mergeCell ref="EC1:EG1"/>
    <mergeCell ref="DG1:DN1"/>
    <mergeCell ref="EO1:EV1"/>
    <mergeCell ref="EW1:FA1"/>
    <mergeCell ref="CR1:CX1"/>
    <mergeCell ref="BF1:BI1"/>
    <mergeCell ref="CC1:CE1"/>
    <mergeCell ref="R1:BA1"/>
    <mergeCell ref="EH1:EN1"/>
    <mergeCell ref="CI1:CQ1"/>
    <mergeCell ref="BX1:CB1"/>
    <mergeCell ref="CF1:CH1"/>
    <mergeCell ref="BB1:BE1"/>
  </mergeCells>
  <dataValidations count="38">
    <dataValidation sqref="H4:H500" showDropDown="0" showInputMessage="0" showErrorMessage="0" allowBlank="1" type="list">
      <formula1>"P,D,C,E,PC,CP,CR,PH,SP"</formula1>
    </dataValidation>
    <dataValidation sqref="I4:I500" showDropDown="0" showInputMessage="0" showErrorMessage="0" allowBlank="1" type="list">
      <formula1>"A,M"</formula1>
    </dataValidation>
    <dataValidation sqref="C4:C500" showDropDown="0" showInputMessage="0" showErrorMessage="0" allowBlank="1" type="list">
      <formula1>"MARU,TOYO,HOND,MAHI,TATA,HYUN,MERC,JEEP,FORD,KIA,MG,VW,SKOD,RENA,NISS,AUDI,BMW"</formula1>
    </dataValidation>
    <dataValidation sqref="BH4:BH500" showDropDown="0" showInputMessage="0" showErrorMessage="0" allowBlank="1" type="list">
      <formula1>"Y,N"</formula1>
    </dataValidation>
    <dataValidation sqref="BJ4:BJ500" showDropDown="0" showInputMessage="0" showErrorMessage="0" allowBlank="1" type="list">
      <formula1>"Y,N"</formula1>
    </dataValidation>
    <dataValidation sqref="BK4:BK500" showDropDown="0" showInputMessage="0" showErrorMessage="0" allowBlank="1" type="list">
      <formula1>"Y,N"</formula1>
    </dataValidation>
    <dataValidation sqref="BL4:BL500" showDropDown="0" showInputMessage="0" showErrorMessage="0" allowBlank="1" type="list">
      <formula1>"Y,N"</formula1>
    </dataValidation>
    <dataValidation sqref="BU4:BU500" showDropDown="0" showInputMessage="0" showErrorMessage="0" allowBlank="1" type="list">
      <formula1>"Y,N"</formula1>
    </dataValidation>
    <dataValidation sqref="BZ4:BZ500" showDropDown="0" showInputMessage="0" showErrorMessage="0" allowBlank="1" type="list">
      <formula1>"Y,N"</formula1>
    </dataValidation>
    <dataValidation sqref="CA4:CA500" showDropDown="0" showInputMessage="0" showErrorMessage="0" allowBlank="1" type="list">
      <formula1>"Y,N"</formula1>
    </dataValidation>
    <dataValidation sqref="CB4:CB500" showDropDown="0" showInputMessage="0" showErrorMessage="0" allowBlank="1" type="list">
      <formula1>"Y,N"</formula1>
    </dataValidation>
    <dataValidation sqref="CC4:CC500" showDropDown="0" showInputMessage="0" showErrorMessage="0" allowBlank="1" type="list">
      <formula1>"Y,N"</formula1>
    </dataValidation>
    <dataValidation sqref="DH4:DH500" showDropDown="0" showInputMessage="0" showErrorMessage="0" allowBlank="1" type="list">
      <formula1>"Y,N"</formula1>
    </dataValidation>
    <dataValidation sqref="DI4:DI500" showDropDown="0" showInputMessage="0" showErrorMessage="0" allowBlank="1" type="list">
      <formula1>"Y,N"</formula1>
    </dataValidation>
    <dataValidation sqref="DM4:DM500" showDropDown="0" showInputMessage="0" showErrorMessage="0" allowBlank="1" type="list">
      <formula1>"Y,N"</formula1>
    </dataValidation>
    <dataValidation sqref="DN4:DN500" showDropDown="0" showInputMessage="0" showErrorMessage="0" allowBlank="1" type="list">
      <formula1>"Y,N"</formula1>
    </dataValidation>
    <dataValidation sqref="DQ4:DQ500" showDropDown="0" showInputMessage="0" showErrorMessage="0" allowBlank="1" type="list">
      <formula1>"Y,N"</formula1>
    </dataValidation>
    <dataValidation sqref="DT4:DT500" showDropDown="0" showInputMessage="0" showErrorMessage="0" allowBlank="1" type="list">
      <formula1>"Y,N"</formula1>
    </dataValidation>
    <dataValidation sqref="DU4:DU500" showDropDown="0" showInputMessage="0" showErrorMessage="0" allowBlank="1" type="list">
      <formula1>"Y,N"</formula1>
    </dataValidation>
    <dataValidation sqref="DV4:DV500" showDropDown="0" showInputMessage="0" showErrorMessage="0" allowBlank="1" type="list">
      <formula1>"Y,N"</formula1>
    </dataValidation>
    <dataValidation sqref="DW4:DW500" showDropDown="0" showInputMessage="0" showErrorMessage="0" allowBlank="1" type="list">
      <formula1>"Y,N"</formula1>
    </dataValidation>
    <dataValidation sqref="DX4:DX500" showDropDown="0" showInputMessage="0" showErrorMessage="0" allowBlank="1" type="list">
      <formula1>"Y,N"</formula1>
    </dataValidation>
    <dataValidation sqref="DY4:DY500" showDropDown="0" showInputMessage="0" showErrorMessage="0" allowBlank="1" type="list">
      <formula1>"Y,N"</formula1>
    </dataValidation>
    <dataValidation sqref="DZ4:DZ500" showDropDown="0" showInputMessage="0" showErrorMessage="0" allowBlank="1" type="list">
      <formula1>"Y,N"</formula1>
    </dataValidation>
    <dataValidation sqref="EA4:EA500" showDropDown="0" showInputMessage="0" showErrorMessage="0" allowBlank="1" type="list">
      <formula1>"Y,N"</formula1>
    </dataValidation>
    <dataValidation sqref="EB4:EB500" showDropDown="0" showInputMessage="0" showErrorMessage="0" allowBlank="1" type="list">
      <formula1>"Y,N"</formula1>
    </dataValidation>
    <dataValidation sqref="ED4:ED500" showDropDown="0" showInputMessage="0" showErrorMessage="0" allowBlank="1" type="list">
      <formula1>"Y,N"</formula1>
    </dataValidation>
    <dataValidation sqref="EG4:EG500" showDropDown="0" showInputMessage="0" showErrorMessage="0" allowBlank="1" type="list">
      <formula1>"Y,N"</formula1>
    </dataValidation>
    <dataValidation sqref="EI4:EI500" showDropDown="0" showInputMessage="0" showErrorMessage="0" allowBlank="1" type="list">
      <formula1>"Y,N"</formula1>
    </dataValidation>
    <dataValidation sqref="EJ4:EJ500" showDropDown="0" showInputMessage="0" showErrorMessage="0" allowBlank="1" type="list">
      <formula1>"Y,N"</formula1>
    </dataValidation>
    <dataValidation sqref="EK4:EK500" showDropDown="0" showInputMessage="0" showErrorMessage="0" allowBlank="1" type="list">
      <formula1>"Y,N"</formula1>
    </dataValidation>
    <dataValidation sqref="EM4:EM500" showDropDown="0" showInputMessage="0" showErrorMessage="0" allowBlank="1" type="list">
      <formula1>"Y,N"</formula1>
    </dataValidation>
    <dataValidation sqref="ER4:ER500" showDropDown="0" showInputMessage="0" showErrorMessage="0" allowBlank="1" type="list">
      <formula1>"Y,N"</formula1>
    </dataValidation>
    <dataValidation sqref="EW4:EW500" showDropDown="0" showInputMessage="0" showErrorMessage="0" allowBlank="1" type="list">
      <formula1>"Y,N"</formula1>
    </dataValidation>
    <dataValidation sqref="EX4:EX500" showDropDown="0" showInputMessage="0" showErrorMessage="0" allowBlank="1" type="list">
      <formula1>"Y,N"</formula1>
    </dataValidation>
    <dataValidation sqref="EY4:EY500" showDropDown="0" showInputMessage="0" showErrorMessage="0" allowBlank="1" type="list">
      <formula1>"Y,N"</formula1>
    </dataValidation>
    <dataValidation sqref="EZ4:EZ500" showDropDown="0" showInputMessage="0" showErrorMessage="0" allowBlank="1" type="list">
      <formula1>"Y,N"</formula1>
    </dataValidation>
    <dataValidation sqref="FG4:FG500" showDropDown="0" showInputMessage="0" showErrorMessage="0" allowBlank="1" type="list">
      <formula1>"Y,N"</formula1>
    </dataValidation>
  </dataValidation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C1:CW3"/>
  <sheetViews>
    <sheetView workbookViewId="0">
      <selection activeCell="A1" sqref="A1"/>
    </sheetView>
  </sheetViews>
  <sheetFormatPr baseColWidth="8" defaultRowHeight="15"/>
  <sheetData>
    <row r="1">
      <c r="D1" t="inlineStr">
        <is>
          <t>MODEL</t>
        </is>
      </c>
      <c r="F1" t="inlineStr">
        <is>
          <t>INS</t>
        </is>
      </c>
      <c r="G1" t="inlineStr">
        <is>
          <t>VARI</t>
        </is>
      </c>
      <c r="H1" t="inlineStr">
        <is>
          <t>F</t>
        </is>
      </c>
      <c r="I1" t="inlineStr">
        <is>
          <t>T</t>
        </is>
      </c>
      <c r="J1" t="inlineStr">
        <is>
          <t>O</t>
        </is>
      </c>
      <c r="K1" t="inlineStr">
        <is>
          <t>KM</t>
        </is>
      </c>
      <c r="L1" t="inlineStr">
        <is>
          <t>COL</t>
        </is>
      </c>
      <c r="M1" t="inlineStr">
        <is>
          <t>RATE</t>
        </is>
      </c>
      <c r="N1" t="inlineStr">
        <is>
          <t>CAR NUMB</t>
        </is>
      </c>
      <c r="P1" t="inlineStr">
        <is>
          <t>LOC</t>
        </is>
      </c>
      <c r="Q1" t="inlineStr">
        <is>
          <t>RTO</t>
        </is>
      </c>
      <c r="R1" t="inlineStr">
        <is>
          <t>EXTERIOR 1 (10 Photos of exterior).</t>
        </is>
      </c>
      <c r="S1" t="n">
        <v>2</v>
      </c>
      <c r="T1" t="n">
        <v>3</v>
      </c>
      <c r="U1" t="n">
        <v>4</v>
      </c>
      <c r="V1" t="n">
        <v>5</v>
      </c>
      <c r="W1" t="n">
        <v>6</v>
      </c>
      <c r="X1" t="n">
        <v>7</v>
      </c>
      <c r="Y1" t="n">
        <v>8</v>
      </c>
      <c r="Z1" t="n">
        <v>9</v>
      </c>
      <c r="AA1" t="n">
        <v>10</v>
      </c>
      <c r="AB1" t="inlineStr">
        <is>
          <t>INTERIOR 1</t>
        </is>
      </c>
      <c r="AC1" t="n">
        <v>2</v>
      </c>
      <c r="AD1" t="n">
        <v>3</v>
      </c>
      <c r="AE1" t="n">
        <v>4</v>
      </c>
      <c r="AF1" t="n">
        <v>5</v>
      </c>
      <c r="AG1" t="n">
        <v>6</v>
      </c>
      <c r="AH1" t="n">
        <v>7</v>
      </c>
      <c r="AI1" t="n">
        <v>8</v>
      </c>
      <c r="AJ1" t="n">
        <v>9</v>
      </c>
      <c r="AK1" t="n">
        <v>10</v>
      </c>
      <c r="AL1" t="inlineStr">
        <is>
          <t>VIDEO 1</t>
        </is>
      </c>
      <c r="AM1" t="n">
        <v>2</v>
      </c>
      <c r="AN1" t="n">
        <v>3</v>
      </c>
      <c r="AO1" t="n">
        <v>4</v>
      </c>
      <c r="AP1" t="n">
        <v>5</v>
      </c>
      <c r="AQ1" t="inlineStr">
        <is>
          <t>INSTAGRAM 1</t>
        </is>
      </c>
      <c r="AR1" t="n">
        <v>2</v>
      </c>
      <c r="AS1" t="n">
        <v>3</v>
      </c>
      <c r="AT1" t="n">
        <v>4</v>
      </c>
      <c r="AU1" t="n">
        <v>5</v>
      </c>
      <c r="AV1" t="inlineStr">
        <is>
          <t>YOUTUBE 1</t>
        </is>
      </c>
      <c r="AW1" t="n">
        <v>2</v>
      </c>
      <c r="AX1" t="n">
        <v>3</v>
      </c>
      <c r="AY1" t="n">
        <v>4</v>
      </c>
      <c r="AZ1" t="n">
        <v>5</v>
      </c>
      <c r="BB1" t="inlineStr">
        <is>
          <t>Price Range Low</t>
        </is>
      </c>
      <c r="BC1" t="inlineStr">
        <is>
          <t>Price Range High</t>
        </is>
      </c>
      <c r="BD1" t="inlineStr">
        <is>
          <t>Negotiable</t>
        </is>
      </c>
      <c r="BE1" t="inlineStr">
        <is>
          <t>Claimed Mileage</t>
        </is>
      </c>
      <c r="BF1" t="inlineStr">
        <is>
          <t>Insurance Type</t>
        </is>
      </c>
      <c r="BG1" t="inlineStr">
        <is>
          <t>Insurance Expiry</t>
        </is>
      </c>
      <c r="BH1" t="inlineStr">
        <is>
          <t>Zero Dep</t>
        </is>
      </c>
      <c r="BI1" t="inlineStr">
        <is>
          <t>Insurance Claim History</t>
        </is>
      </c>
      <c r="BJ1" t="inlineStr">
        <is>
          <t>Accident Free</t>
        </is>
      </c>
      <c r="BK1" t="inlineStr">
        <is>
          <t>Flood Damage</t>
        </is>
      </c>
      <c r="BL1" t="inlineStr">
        <is>
          <t>Repainted</t>
        </is>
      </c>
      <c r="BM1" t="inlineStr">
        <is>
          <t>Repaint Panels</t>
        </is>
      </c>
      <c r="BN1" t="inlineStr">
        <is>
          <t>Body Condition</t>
        </is>
      </c>
      <c r="BO1" t="inlineStr">
        <is>
          <t>Engine Condition</t>
        </is>
      </c>
      <c r="BP1" t="inlineStr">
        <is>
          <t>Interior Condition</t>
        </is>
      </c>
      <c r="BQ1" t="inlineStr">
        <is>
          <t>Tyre Condition</t>
        </is>
      </c>
      <c r="BR1" t="inlineStr">
        <is>
          <t>Brake Condition</t>
        </is>
      </c>
      <c r="BS1" t="inlineStr">
        <is>
          <t>Clutch Condition</t>
        </is>
      </c>
      <c r="BT1" t="inlineStr">
        <is>
          <t>Battery Condition</t>
        </is>
      </c>
      <c r="BU1" t="inlineStr">
        <is>
          <t>Service History Available</t>
        </is>
      </c>
      <c r="BV1" t="inlineStr">
        <is>
          <t>Last Service Date</t>
        </is>
      </c>
      <c r="BW1" t="inlineStr">
        <is>
          <t>Service Center Type</t>
        </is>
      </c>
      <c r="BX1" t="inlineStr">
        <is>
          <t>RC Status</t>
        </is>
      </c>
      <c r="BY1" t="inlineStr">
        <is>
          <t>Hypothecation Bank</t>
        </is>
      </c>
      <c r="BZ1" t="inlineStr">
        <is>
          <t>Loan Closed</t>
        </is>
      </c>
      <c r="CA1" t="inlineStr">
        <is>
          <t>NOC Available</t>
        </is>
      </c>
      <c r="CB1" t="inlineStr">
        <is>
          <t>Finance Eligible</t>
        </is>
      </c>
      <c r="CC1" t="inlineStr">
        <is>
          <t>Warranty Available</t>
        </is>
      </c>
      <c r="CD1" t="inlineStr">
        <is>
          <t>Warranty Expiry</t>
        </is>
      </c>
      <c r="CE1" t="inlineStr">
        <is>
          <t>Warranty Provider</t>
        </is>
      </c>
      <c r="CF1" t="inlineStr">
        <is>
          <t>Reason for Sale</t>
        </is>
      </c>
      <c r="CG1" t="inlineStr">
        <is>
          <t>Best Features</t>
        </is>
      </c>
      <c r="CH1" t="inlineStr">
        <is>
          <t>Known Issues</t>
        </is>
      </c>
      <c r="CI1" t="inlineStr">
        <is>
          <t>Photo Count</t>
        </is>
      </c>
      <c r="CJ1" t="inlineStr">
        <is>
          <t>Video Count</t>
        </is>
      </c>
      <c r="CK1" t="inlineStr">
        <is>
          <t>STATUS</t>
        </is>
      </c>
      <c r="CL1" t="inlineStr">
        <is>
          <t>PHOTO_URLS</t>
        </is>
      </c>
      <c r="CM1" t="inlineStr">
        <is>
          <t>VIDEO_URLS</t>
        </is>
      </c>
      <c r="CN1" t="inlineStr">
        <is>
          <t>YOUTUBE_URL</t>
        </is>
      </c>
      <c r="CO1" t="inlineStr">
        <is>
          <t>INSTAGRAM_URL</t>
        </is>
      </c>
      <c r="CP1" t="inlineStr">
        <is>
          <t>MEDIA_FOLDER_ID</t>
        </is>
      </c>
      <c r="CQ1" t="inlineStr">
        <is>
          <t>LAST_UPDATED</t>
        </is>
      </c>
      <c r="CR1" t="inlineStr">
        <is>
          <t>SOLD_AT</t>
        </is>
      </c>
      <c r="CS1" t="inlineStr">
        <is>
          <t>SOLD_BY</t>
        </is>
      </c>
    </row>
    <row r="2">
      <c r="C2" t="inlineStr">
        <is>
          <t>MARU</t>
        </is>
      </c>
      <c r="D2" t="inlineStr">
        <is>
          <t>Swift</t>
        </is>
      </c>
      <c r="E2" t="n">
        <v>2021</v>
      </c>
      <c r="M2" t="n">
        <v>550000</v>
      </c>
      <c r="N2" t="inlineStr">
        <is>
          <t>TEST0001</t>
        </is>
      </c>
      <c r="BB2" t="inlineStr">
        <is>
          <t>Unknown</t>
        </is>
      </c>
      <c r="BC2" t="inlineStr">
        <is>
          <t>Unknown</t>
        </is>
      </c>
      <c r="BD2" t="inlineStr">
        <is>
          <t>Unknown</t>
        </is>
      </c>
      <c r="BE2" t="inlineStr">
        <is>
          <t>Unknown</t>
        </is>
      </c>
      <c r="BF2" t="inlineStr">
        <is>
          <t>Unknown</t>
        </is>
      </c>
      <c r="BG2" t="inlineStr">
        <is>
          <t>Unknown</t>
        </is>
      </c>
      <c r="BH2" t="inlineStr">
        <is>
          <t>Unknown</t>
        </is>
      </c>
      <c r="BI2" t="inlineStr">
        <is>
          <t>Unknown</t>
        </is>
      </c>
      <c r="BJ2" t="inlineStr">
        <is>
          <t>Unknown</t>
        </is>
      </c>
      <c r="BK2" t="inlineStr">
        <is>
          <t>Unknown</t>
        </is>
      </c>
      <c r="BL2" t="inlineStr">
        <is>
          <t>Unknown</t>
        </is>
      </c>
      <c r="BM2" t="inlineStr">
        <is>
          <t>Data Not Available</t>
        </is>
      </c>
      <c r="BN2" t="inlineStr">
        <is>
          <t>Unknown</t>
        </is>
      </c>
      <c r="BO2" t="inlineStr">
        <is>
          <t>Unknown</t>
        </is>
      </c>
      <c r="BQ2" t="inlineStr">
        <is>
          <t>Unknown</t>
        </is>
      </c>
      <c r="BR2" t="inlineStr">
        <is>
          <t>Unknown</t>
        </is>
      </c>
      <c r="BS2" t="inlineStr">
        <is>
          <t>Unknown</t>
        </is>
      </c>
      <c r="BT2" t="inlineStr">
        <is>
          <t>Unknown</t>
        </is>
      </c>
      <c r="BU2" t="inlineStr">
        <is>
          <t>Unknown</t>
        </is>
      </c>
      <c r="BV2" t="inlineStr">
        <is>
          <t>Unknown</t>
        </is>
      </c>
      <c r="BW2" t="inlineStr">
        <is>
          <t>Unknown</t>
        </is>
      </c>
      <c r="BX2" t="inlineStr">
        <is>
          <t>Unknown</t>
        </is>
      </c>
      <c r="BY2" t="inlineStr">
        <is>
          <t>Data Not Available</t>
        </is>
      </c>
      <c r="BZ2" t="inlineStr">
        <is>
          <t>Unknown</t>
        </is>
      </c>
      <c r="CA2" t="inlineStr">
        <is>
          <t>Unknown</t>
        </is>
      </c>
      <c r="CB2" t="inlineStr">
        <is>
          <t>Unknown</t>
        </is>
      </c>
      <c r="CC2" t="inlineStr">
        <is>
          <t>Unknown</t>
        </is>
      </c>
      <c r="CD2" t="inlineStr">
        <is>
          <t>Unknown</t>
        </is>
      </c>
      <c r="CE2" t="inlineStr">
        <is>
          <t>Data Not Available</t>
        </is>
      </c>
      <c r="CF2" t="inlineStr">
        <is>
          <t>Unknown</t>
        </is>
      </c>
      <c r="CG2" t="inlineStr">
        <is>
          <t>Data Not Available</t>
        </is>
      </c>
      <c r="CH2" t="inlineStr">
        <is>
          <t>Data Not Available</t>
        </is>
      </c>
      <c r="CI2" t="inlineStr">
        <is>
          <t>Unknown</t>
        </is>
      </c>
      <c r="CK2" t="inlineStr">
        <is>
          <t>SOLD</t>
        </is>
      </c>
      <c r="CP2" t="inlineStr">
        <is>
          <t>TEST0001</t>
        </is>
      </c>
      <c r="CQ2" t="inlineStr">
        <is>
          <t>2026-07-27T12:18:38.790384+00:00</t>
        </is>
      </c>
      <c r="CR2" t="inlineStr">
        <is>
          <t>2026-07-27T12:18:38.790384+00:00</t>
        </is>
      </c>
      <c r="CS2" t="inlineStr">
        <is>
          <t>owner</t>
        </is>
      </c>
    </row>
    <row r="3">
      <c r="C3" t="inlineStr">
        <is>
          <t>Maruti</t>
        </is>
      </c>
      <c r="D3" t="inlineStr">
        <is>
          <t>SWIFT</t>
        </is>
      </c>
      <c r="E3" t="n">
        <v>2020</v>
      </c>
      <c r="H3" t="inlineStr">
        <is>
          <t>P</t>
        </is>
      </c>
      <c r="I3" t="inlineStr">
        <is>
          <t>M</t>
        </is>
      </c>
      <c r="J3" t="n">
        <v>1</v>
      </c>
      <c r="K3" t="n">
        <v>25000</v>
      </c>
      <c r="L3" t="inlineStr">
        <is>
          <t>RED</t>
        </is>
      </c>
      <c r="M3" t="n">
        <v>500000</v>
      </c>
      <c r="N3" t="inlineStr">
        <is>
          <t>MH99ZZ9999</t>
        </is>
      </c>
      <c r="CI3" t="inlineStr">
        <is>
          <t>Unknown</t>
        </is>
      </c>
      <c r="CK3" t="inlineStr">
        <is>
          <t>SOLD</t>
        </is>
      </c>
      <c r="CP3" t="inlineStr">
        <is>
          <t>MH99ZZ9999</t>
        </is>
      </c>
      <c r="CQ3" t="inlineStr">
        <is>
          <t>2026-08-07T16:25:31.243895+00:00</t>
        </is>
      </c>
      <c r="CT3" t="inlineStr">
        <is>
          <t>2026-08-07T07:05:27.404933+00:00</t>
        </is>
      </c>
      <c r="CU3" t="inlineStr">
        <is>
          <t>owner</t>
        </is>
      </c>
      <c r="CV3" t="inlineStr">
        <is>
          <t>2026-08-07T16:25:31.243895+00:00</t>
        </is>
      </c>
      <c r="CW3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ASUS</dc:creator>
  <dcterms:created xmlns:dcterms="http://purl.org/dc/terms/" xmlns:xsi="http://www.w3.org/2001/XMLSchema-instance" xsi:type="dcterms:W3CDTF">2026-03-11T21:55:55Z</dcterms:created>
  <dcterms:modified xmlns:dcterms="http://purl.org/dc/terms/" xmlns:xsi="http://www.w3.org/2001/XMLSchema-instance" xsi:type="dcterms:W3CDTF">2026-08-11T19:24:55Z</dcterms:modified>
  <cp:lastModifiedBy>ACER</cp:lastModifiedBy>
  <cp:lastPrinted>2026-06-09T15:31:46Z</cp:lastPrinted>
</cp:coreProperties>
</file>